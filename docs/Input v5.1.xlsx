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ust\Dropbox\Agustina Anselmino - Mariana Cóccola (1)\2026 Plan. agrícola\"/>
    </mc:Choice>
  </mc:AlternateContent>
  <xr:revisionPtr revIDLastSave="0" documentId="13_ncr:1_{B90133E9-A948-4D1C-9E39-2E1F58D86788}" xr6:coauthVersionLast="47" xr6:coauthVersionMax="47" xr10:uidLastSave="{00000000-0000-0000-0000-000000000000}"/>
  <bookViews>
    <workbookView xWindow="-120" yWindow="-120" windowWidth="29040" windowHeight="15720" activeTab="2" xr2:uid="{19D66BF7-ED66-4B54-BE55-C59662FCAAA5}"/>
  </bookViews>
  <sheets>
    <sheet name="Sets" sheetId="1" r:id="rId1"/>
    <sheet name="Plots (J)" sheetId="32" r:id="rId2"/>
    <sheet name="Costs" sheetId="16" r:id="rId3"/>
    <sheet name="Crops (I)" sheetId="21" r:id="rId4"/>
    <sheet name="History (Ch)" sheetId="34" r:id="rId5"/>
    <sheet name="Yields" sheetId="25" r:id="rId6"/>
    <sheet name="Rotations(red)" sheetId="26" r:id="rId7"/>
    <sheet name="Fechas" sheetId="33" r:id="rId8"/>
  </sheets>
  <definedNames>
    <definedName name="_xlnm._FilterDatabase" localSheetId="2" hidden="1">Costs!$AH$2:$AK$202</definedName>
    <definedName name="_xlnm._FilterDatabase" localSheetId="4" hidden="1">'History (Ch)'!$B$2:$E$202</definedName>
    <definedName name="_xlnm._FilterDatabase" localSheetId="6" hidden="1">'Rotations(red)'!#REF!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6" l="1"/>
  <c r="G4" i="16"/>
  <c r="H4" i="16"/>
  <c r="I4" i="16"/>
  <c r="G5" i="16"/>
  <c r="H5" i="16"/>
  <c r="I5" i="16"/>
  <c r="G6" i="16"/>
  <c r="H6" i="16"/>
  <c r="I6" i="16"/>
  <c r="G7" i="16"/>
  <c r="H7" i="16"/>
  <c r="I7" i="16"/>
  <c r="G8" i="16"/>
  <c r="H8" i="16"/>
  <c r="I8" i="16"/>
  <c r="G9" i="16"/>
  <c r="H9" i="16"/>
  <c r="I9" i="16"/>
  <c r="G10" i="16"/>
  <c r="H10" i="16"/>
  <c r="I10" i="16"/>
  <c r="G11" i="16"/>
  <c r="H11" i="16"/>
  <c r="I11" i="16"/>
  <c r="G12" i="16"/>
  <c r="H12" i="16"/>
  <c r="I12" i="16"/>
  <c r="G13" i="16"/>
  <c r="H13" i="16"/>
  <c r="I13" i="16"/>
  <c r="G14" i="16"/>
  <c r="H14" i="16"/>
  <c r="I14" i="16"/>
  <c r="G15" i="16"/>
  <c r="H15" i="16"/>
  <c r="I15" i="16"/>
  <c r="G16" i="16"/>
  <c r="H16" i="16"/>
  <c r="I16" i="16"/>
  <c r="G17" i="16"/>
  <c r="H17" i="16"/>
  <c r="I17" i="16"/>
  <c r="G18" i="16"/>
  <c r="H18" i="16"/>
  <c r="I18" i="16"/>
  <c r="G19" i="16"/>
  <c r="H19" i="16"/>
  <c r="I19" i="16"/>
  <c r="G20" i="16"/>
  <c r="H20" i="16"/>
  <c r="I20" i="16"/>
  <c r="G21" i="16"/>
  <c r="H21" i="16"/>
  <c r="I21" i="16"/>
  <c r="G22" i="16"/>
  <c r="H22" i="16"/>
  <c r="I22" i="16"/>
  <c r="H3" i="16"/>
  <c r="I3" i="16"/>
  <c r="I3" i="25"/>
  <c r="E5" i="25"/>
  <c r="T4" i="25"/>
  <c r="T3" i="25" s="1"/>
  <c r="O4" i="25"/>
  <c r="O3" i="25" s="1"/>
  <c r="N4" i="25"/>
  <c r="N3" i="25" s="1"/>
  <c r="K4" i="25"/>
  <c r="G4" i="25"/>
  <c r="G3" i="25" s="1"/>
  <c r="F4" i="25"/>
  <c r="F3" i="25" s="1"/>
  <c r="D4" i="25"/>
  <c r="D3" i="25" s="1"/>
  <c r="E3" i="25"/>
  <c r="L3" i="33"/>
  <c r="D2" i="21" s="1"/>
  <c r="L4" i="33"/>
  <c r="D3" i="21" s="1"/>
  <c r="L17" i="33"/>
  <c r="D16" i="21" s="1"/>
  <c r="L18" i="33"/>
  <c r="D17" i="21" s="1"/>
  <c r="L16" i="33"/>
  <c r="D15" i="21" s="1"/>
  <c r="L15" i="33"/>
  <c r="D14" i="21" s="1"/>
  <c r="B21" i="21"/>
  <c r="A3" i="32"/>
  <c r="A4" i="32"/>
  <c r="A5" i="32"/>
  <c r="A6" i="32"/>
  <c r="A7" i="32"/>
  <c r="A8" i="32"/>
  <c r="A2" i="32"/>
  <c r="M3" i="33"/>
  <c r="B2" i="21" s="1"/>
  <c r="J3" i="33"/>
  <c r="C2" i="21" s="1"/>
  <c r="M4" i="33"/>
  <c r="B3" i="21" s="1"/>
  <c r="M5" i="33"/>
  <c r="B4" i="21" s="1"/>
  <c r="M6" i="33"/>
  <c r="B5" i="21" s="1"/>
  <c r="M7" i="33"/>
  <c r="B6" i="21" s="1"/>
  <c r="M8" i="33"/>
  <c r="B7" i="21" s="1"/>
  <c r="M9" i="33"/>
  <c r="B8" i="21" s="1"/>
  <c r="M10" i="33"/>
  <c r="B9" i="21" s="1"/>
  <c r="M11" i="33"/>
  <c r="B10" i="21" s="1"/>
  <c r="M12" i="33"/>
  <c r="B11" i="21" s="1"/>
  <c r="M13" i="33"/>
  <c r="B12" i="21" s="1"/>
  <c r="M14" i="33"/>
  <c r="B13" i="21" s="1"/>
  <c r="M15" i="33"/>
  <c r="B14" i="21" s="1"/>
  <c r="M16" i="33"/>
  <c r="B15" i="21" s="1"/>
  <c r="M17" i="33"/>
  <c r="B16" i="21" s="1"/>
  <c r="M18" i="33"/>
  <c r="B17" i="21" s="1"/>
  <c r="M19" i="33"/>
  <c r="B18" i="21" s="1"/>
  <c r="M20" i="33"/>
  <c r="B19" i="21" s="1"/>
  <c r="M21" i="33"/>
  <c r="B20" i="21" s="1"/>
  <c r="L5" i="33"/>
  <c r="D4" i="21" s="1"/>
  <c r="L6" i="33"/>
  <c r="D5" i="21" s="1"/>
  <c r="L7" i="33"/>
  <c r="D6" i="21" s="1"/>
  <c r="L8" i="33"/>
  <c r="D7" i="21" s="1"/>
  <c r="L9" i="33"/>
  <c r="D8" i="21" s="1"/>
  <c r="L10" i="33"/>
  <c r="D9" i="21" s="1"/>
  <c r="L11" i="33"/>
  <c r="D10" i="21" s="1"/>
  <c r="L12" i="33"/>
  <c r="D11" i="21" s="1"/>
  <c r="L13" i="33"/>
  <c r="D12" i="21" s="1"/>
  <c r="L14" i="33"/>
  <c r="D13" i="21" s="1"/>
  <c r="L19" i="33"/>
  <c r="D18" i="21" s="1"/>
  <c r="L20" i="33"/>
  <c r="D19" i="21" s="1"/>
  <c r="L21" i="33"/>
  <c r="D20" i="21" s="1"/>
  <c r="J4" i="33"/>
  <c r="C3" i="21" s="1"/>
  <c r="J5" i="33"/>
  <c r="C4" i="21" s="1"/>
  <c r="J6" i="33"/>
  <c r="C5" i="21" s="1"/>
  <c r="J7" i="33"/>
  <c r="C6" i="21" s="1"/>
  <c r="J8" i="33"/>
  <c r="C7" i="21" s="1"/>
  <c r="J9" i="33"/>
  <c r="C8" i="21" s="1"/>
  <c r="J10" i="33"/>
  <c r="C9" i="21" s="1"/>
  <c r="J11" i="33"/>
  <c r="C10" i="21" s="1"/>
  <c r="J12" i="33"/>
  <c r="C11" i="21" s="1"/>
  <c r="J13" i="33"/>
  <c r="C12" i="21" s="1"/>
  <c r="J14" i="33"/>
  <c r="C13" i="21" s="1"/>
  <c r="J15" i="33"/>
  <c r="C14" i="21" s="1"/>
  <c r="J16" i="33"/>
  <c r="C15" i="21" s="1"/>
  <c r="J17" i="33"/>
  <c r="C16" i="21" s="1"/>
  <c r="J18" i="33"/>
  <c r="C17" i="21" s="1"/>
  <c r="J19" i="33"/>
  <c r="C18" i="21" s="1"/>
  <c r="J20" i="33"/>
  <c r="C19" i="21" s="1"/>
  <c r="J21" i="33"/>
  <c r="C2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Matias</author>
  </authors>
  <commentList>
    <comment ref="L9" authorId="0" shapeId="0" xr:uid="{F03174C4-10E1-4B4A-B580-2A47BFFE1581}">
      <text>
        <r>
          <rPr>
            <b/>
            <sz val="9"/>
            <color indexed="81"/>
            <rFont val="Tahoma"/>
            <family val="2"/>
          </rPr>
          <t>CEBADA: en la planificación no hay semilla ni agroquímicos desagregados. Tiene un importe único de 239,00 USD/ha sin especificar insumo, clasificado como "Otros" en la hoja Resumen Costos. 0 aquí a propósito — el costo NO es cero, está sin desagregar.</t>
        </r>
      </text>
    </comment>
    <comment ref="O9" authorId="0" shapeId="0" xr:uid="{FA3C4269-FC05-4E9E-AAD8-75A513031F8F}">
      <text>
        <r>
          <rPr>
            <b/>
            <sz val="9"/>
            <color indexed="81"/>
            <rFont val="Tahoma"/>
            <family val="2"/>
          </rPr>
          <t>Matias:</t>
        </r>
        <r>
          <rPr>
            <sz val="9"/>
            <color indexed="81"/>
            <rFont val="Tahoma"/>
            <family val="2"/>
          </rPr>
          <t xml:space="preserve">
CEBADA SÍ tiene insumos en la planificación: 239,00 USD/ha sin IVA (289,19 c/IVA), cargados como un importe único sin especificar insumo. Están en la columna Otros de Resumen Costos, no discriminados entre semilla y agroquímicos.</t>
        </r>
      </text>
    </comment>
    <comment ref="R9" authorId="0" shapeId="0" xr:uid="{606E4F91-C509-4330-837B-2118CA06BC17}">
      <text>
        <r>
          <rPr>
            <b/>
            <sz val="9"/>
            <color indexed="81"/>
            <rFont val="Tahoma"/>
            <family val="2"/>
          </rPr>
          <t>Matias:</t>
        </r>
        <r>
          <rPr>
            <sz val="9"/>
            <color indexed="81"/>
            <rFont val="Tahoma"/>
            <family val="2"/>
          </rPr>
          <t xml:space="preserve">
CEBADA no tiene fertilizantes desagregados en la planificación. Su costo de insumos (239,00 USD/ha sin IVA) viene como importe único sin especificar, en la columna Otros de Resumen Costos. El 0 no significa costo cero.</t>
        </r>
      </text>
    </comment>
    <comment ref="L10" authorId="0" shapeId="0" xr:uid="{9258FBC9-9DC0-4109-95AC-E4CA47A17E2F}">
      <text>
        <r>
          <rPr>
            <b/>
            <sz val="9"/>
            <color indexed="81"/>
            <rFont val="Tahoma"/>
            <family val="2"/>
          </rPr>
          <t>CENTENO: en la planificación no hay semilla ni agroquímicos desagregados. Tiene un importe único de 146,00 USD/ha sin especificar insumo, clasificado como "Otros" en la hoja Resumen Costos. 0 aquí a propósito — el costo NO es cero, está sin desagregar.</t>
        </r>
      </text>
    </comment>
    <comment ref="O10" authorId="0" shapeId="0" xr:uid="{B475020D-75F2-4AC2-BDD7-616262CA1B95}">
      <text>
        <r>
          <rPr>
            <b/>
            <sz val="9"/>
            <color indexed="81"/>
            <rFont val="Tahoma"/>
            <family val="2"/>
          </rPr>
          <t>Matias:</t>
        </r>
        <r>
          <rPr>
            <sz val="9"/>
            <color indexed="81"/>
            <rFont val="Tahoma"/>
            <family val="2"/>
          </rPr>
          <t xml:space="preserve">
CENTENO SÍ tiene insumos en la planificación: 146,00 USD/ha sin IVA (176,66 c/IVA), cargados como un importe único sin especificar insumo. Están en la columna Otros de Resumen Costos, no discriminados entre semilla y agroquímicos.</t>
        </r>
      </text>
    </comment>
    <comment ref="R10" authorId="0" shapeId="0" xr:uid="{546920E3-71D3-4DFB-88B6-774898A57FBB}">
      <text>
        <r>
          <rPr>
            <b/>
            <sz val="9"/>
            <color indexed="81"/>
            <rFont val="Tahoma"/>
            <family val="2"/>
          </rPr>
          <t>Matias:</t>
        </r>
        <r>
          <rPr>
            <sz val="9"/>
            <color indexed="81"/>
            <rFont val="Tahoma"/>
            <family val="2"/>
          </rPr>
          <t xml:space="preserve">
CENTENO no tiene fertilizantes desagregados en la planificación. Su costo de insumos (146,00 USD/ha sin IVA) viene como importe único sin especificar, en la columna Otros de Resumen Costos. El 0 no significa costo cero.</t>
        </r>
      </text>
    </comment>
    <comment ref="L19" authorId="0" shapeId="0" xr:uid="{9315BFCD-7B8D-4EB2-9FEB-C1CDEC938BFA}">
      <text>
        <r>
          <rPr>
            <b/>
            <sz val="9"/>
            <color indexed="81"/>
            <rFont val="Tahoma"/>
            <family val="2"/>
          </rPr>
          <t>AVENA CS = bloque "LABORES AVENA" (Siembra Altina) de la planificación, avena de pastoreo / cultivo de servicio. En la planificación tiene labores propias (39,96 USD/ha) pero NO tiene insumos cargados, por eso queda en 0. No se le asignó ningún valor por analogía.</t>
        </r>
      </text>
    </comment>
    <comment ref="O19" authorId="0" shapeId="0" xr:uid="{F0AAFA14-EBB4-4938-A136-48FEF9C9E361}">
      <text>
        <r>
          <rPr>
            <b/>
            <sz val="9"/>
            <color indexed="81"/>
            <rFont val="Tahoma"/>
            <family val="2"/>
          </rPr>
          <t>AVENA CS no tiene insumos cargados en la planificación de origen (solo labores). 0 a propósito, sin estimación.</t>
        </r>
      </text>
    </comment>
    <comment ref="R19" authorId="0" shapeId="0" xr:uid="{46550AE7-5005-4608-811B-5B3FC6961EB6}">
      <text>
        <r>
          <rPr>
            <b/>
            <sz val="9"/>
            <color indexed="81"/>
            <rFont val="Tahoma"/>
            <family val="2"/>
          </rPr>
          <t>Matias:</t>
        </r>
        <r>
          <rPr>
            <sz val="9"/>
            <color indexed="81"/>
            <rFont val="Tahoma"/>
            <family val="2"/>
          </rPr>
          <t xml:space="preserve">
AVENA CS no tiene insumos cargados en la planificación (solo labores). 0 a propósito, sin estimación.</t>
        </r>
      </text>
    </comment>
    <comment ref="L20" authorId="0" shapeId="0" xr:uid="{DAEC7C19-1334-4C30-953D-44B65679D329}">
      <text>
        <r>
          <rPr>
            <b/>
            <sz val="9"/>
            <color indexed="81"/>
            <rFont val="Tahoma"/>
            <family val="2"/>
          </rPr>
          <t>SUPUESTO, NO DATO. En la planificación, Ray Grass CS tiene labores propias pero NO tiene insumos cargados. Este valor se estima por analogía con el cultivo "Ray Grass" (21,25 USD/ha de semilla). No surge de la planificación — validar antes de usarlo.</t>
        </r>
      </text>
    </comment>
    <comment ref="O20" authorId="0" shapeId="0" xr:uid="{3C5AFE95-2075-43B1-8CB4-E9C36B8603E7}">
      <text>
        <r>
          <rPr>
            <b/>
            <sz val="9"/>
            <color indexed="81"/>
            <rFont val="Tahoma"/>
            <family val="2"/>
          </rPr>
          <t>Matias:</t>
        </r>
        <r>
          <rPr>
            <sz val="9"/>
            <color indexed="81"/>
            <rFont val="Tahoma"/>
            <family val="2"/>
          </rPr>
          <t xml:space="preserve">
SUPUESTO, NO DATO. Estimado por analogía con el cultivo "Ray Grass" (29,29 USD/ha de agroquímicos). Ray Grass CS no tiene insumos propios cargados en la planificación.</t>
        </r>
      </text>
    </comment>
    <comment ref="R20" authorId="0" shapeId="0" xr:uid="{06AA2079-1646-4576-A867-4BE000E05791}">
      <text>
        <r>
          <rPr>
            <b/>
            <sz val="9"/>
            <color indexed="81"/>
            <rFont val="Tahoma"/>
            <family val="2"/>
          </rPr>
          <t>Matias:</t>
        </r>
        <r>
          <rPr>
            <sz val="9"/>
            <color indexed="81"/>
            <rFont val="Tahoma"/>
            <family val="2"/>
          </rPr>
          <t xml:space="preserve">
SUPUESTO, NO DATO. Estimado por analogía con el cultivo "Ray Grass" (172,10 USD/ha de fertilizantes). Ray Grass CS no tiene insumos propios cargados en la planificación — validar antes de usarlo.</t>
        </r>
      </text>
    </comment>
    <comment ref="U20" authorId="0" shapeId="0" xr:uid="{4641672D-3A85-469D-B3C0-79679B3CC67F}">
      <text>
        <r>
          <rPr>
            <b/>
            <sz val="9"/>
            <color indexed="81"/>
            <rFont val="Tahoma"/>
            <family val="2"/>
          </rPr>
          <t>Matias:</t>
        </r>
        <r>
          <rPr>
            <sz val="9"/>
            <color indexed="81"/>
            <rFont val="Tahoma"/>
            <family val="2"/>
          </rPr>
          <t xml:space="preserve">
SUPUESTO, NO DATO. Estimado por analogía con el cultivo "Ray Grass" (65,50 USD/ha de labores). En la planificación no existe un bloque de labores propio para Ray Grass CS — validar antes de usarlo.</t>
        </r>
      </text>
    </comment>
    <comment ref="L22" authorId="0" shapeId="0" xr:uid="{ADEDBBC2-2C58-4FAB-B864-2BC9C2BF3FFB}">
      <text>
        <r>
          <rPr>
            <b/>
            <sz val="9"/>
            <color indexed="81"/>
            <rFont val="Tahoma"/>
            <family val="2"/>
          </rPr>
          <t>Matias:</t>
        </r>
        <r>
          <rPr>
            <sz val="9"/>
            <color indexed="81"/>
            <rFont val="Tahoma"/>
            <family val="2"/>
          </rPr>
          <t xml:space="preserve">
BARBECHO no existe como cultivo en PLANIFICACION AGRÍCOLA Vollmuth SAS 2627.xlsx. Los costos de barbecho (glifosato, 2,4-D, dicamba, paraquat pre-siembra) están imputados dentro de cada cultivo, no desagregados. Queda en 0 a propósito.</t>
        </r>
      </text>
    </comment>
    <comment ref="O22" authorId="0" shapeId="0" xr:uid="{16415ADF-88B2-4BF9-B80A-DF7533D06628}">
      <text>
        <r>
          <rPr>
            <b/>
            <sz val="9"/>
            <color indexed="81"/>
            <rFont val="Tahoma"/>
            <family val="2"/>
          </rPr>
          <t>Matias:</t>
        </r>
        <r>
          <rPr>
            <sz val="9"/>
            <color indexed="81"/>
            <rFont val="Tahoma"/>
            <family val="2"/>
          </rPr>
          <t xml:space="preserve">
BARBECHO no existe como cultivo en PLANIFICACION AGRÍCOLA Vollmuth SAS 2627.xlsx. Los costos de barbecho (glifosato, 2,4-D, dicamba, paraquat pre-siembra) están imputados dentro de cada cultivo, no desagregados. Queda en 0 a propósito.</t>
        </r>
      </text>
    </comment>
    <comment ref="R22" authorId="0" shapeId="0" xr:uid="{E54A9E1F-67B4-42C2-8E0A-95444605D47E}">
      <text>
        <r>
          <rPr>
            <b/>
            <sz val="9"/>
            <color indexed="81"/>
            <rFont val="Tahoma"/>
            <family val="2"/>
          </rPr>
          <t>Matias:</t>
        </r>
        <r>
          <rPr>
            <sz val="9"/>
            <color indexed="81"/>
            <rFont val="Tahoma"/>
            <family val="2"/>
          </rPr>
          <t xml:space="preserve">
BARBECHO no existe como cultivo en la planificación. Sus costos están imputados dentro de cada cultivo, no desagregados. 0 a propósito.</t>
        </r>
      </text>
    </comment>
    <comment ref="U22" authorId="0" shapeId="0" xr:uid="{E56B4E0B-F572-4FDD-ADEB-656723EFB74A}">
      <text>
        <r>
          <rPr>
            <b/>
            <sz val="9"/>
            <color indexed="81"/>
            <rFont val="Tahoma"/>
            <family val="2"/>
          </rPr>
          <t>Matias:</t>
        </r>
        <r>
          <rPr>
            <sz val="9"/>
            <color indexed="81"/>
            <rFont val="Tahoma"/>
            <family val="2"/>
          </rPr>
          <t xml:space="preserve">
BARBECHO no existe como cultivo en la planificación. Sus costos están imputados dentro de cada cultivo, no desagregados. 0 a propósito.</t>
        </r>
      </text>
    </comment>
  </commentList>
</comments>
</file>

<file path=xl/sharedStrings.xml><?xml version="1.0" encoding="utf-8"?>
<sst xmlns="http://schemas.openxmlformats.org/spreadsheetml/2006/main" count="1979" uniqueCount="148">
  <si>
    <t>T1</t>
  </si>
  <si>
    <t>T2</t>
  </si>
  <si>
    <t>T3</t>
  </si>
  <si>
    <t>D</t>
  </si>
  <si>
    <t>T</t>
  </si>
  <si>
    <t>COLZA</t>
  </si>
  <si>
    <t>CARINATA</t>
  </si>
  <si>
    <t>AVENA</t>
  </si>
  <si>
    <t>R. GRASS</t>
  </si>
  <si>
    <t>TRIGO</t>
  </si>
  <si>
    <t>CAMELINA</t>
  </si>
  <si>
    <t>CEBADA</t>
  </si>
  <si>
    <t>CENTENO</t>
  </si>
  <si>
    <t>ARVEJA</t>
  </si>
  <si>
    <t>GIRASOL</t>
  </si>
  <si>
    <t>SORGO</t>
  </si>
  <si>
    <t>MAIZ</t>
  </si>
  <si>
    <t>SOJA</t>
  </si>
  <si>
    <t>SOJA II</t>
  </si>
  <si>
    <t>MAIZ II</t>
  </si>
  <si>
    <t>MAIZ T</t>
  </si>
  <si>
    <t>BARBECHO</t>
  </si>
  <si>
    <t>CULTIVO PREDECESOR</t>
  </si>
  <si>
    <t>I</t>
  </si>
  <si>
    <t>J</t>
  </si>
  <si>
    <t>S</t>
  </si>
  <si>
    <t>Referencias</t>
  </si>
  <si>
    <t>Lotes</t>
  </si>
  <si>
    <t>Cultivos</t>
  </si>
  <si>
    <t>Suelos</t>
  </si>
  <si>
    <t>D_S</t>
  </si>
  <si>
    <t>D_L</t>
  </si>
  <si>
    <t>Destinos</t>
  </si>
  <si>
    <t>Destinos de corta distancia</t>
  </si>
  <si>
    <t>Destinos de larga distancia</t>
  </si>
  <si>
    <t>D1</t>
  </si>
  <si>
    <t>D2</t>
  </si>
  <si>
    <t>D3</t>
  </si>
  <si>
    <t>D4</t>
  </si>
  <si>
    <t>D5</t>
  </si>
  <si>
    <t>ha</t>
  </si>
  <si>
    <t>max_m</t>
  </si>
  <si>
    <t>max_s</t>
  </si>
  <si>
    <t>gt</t>
  </si>
  <si>
    <t>st_start</t>
  </si>
  <si>
    <t>st_end</t>
  </si>
  <si>
    <t>ar - secuenciamiento {0,1}</t>
  </si>
  <si>
    <t>setup - cultivo actual en 1 columna, cultivo pasado en 1 fila</t>
  </si>
  <si>
    <t>J1</t>
  </si>
  <si>
    <t>J2</t>
  </si>
  <si>
    <t>J3</t>
  </si>
  <si>
    <t>J4</t>
  </si>
  <si>
    <t>J5</t>
  </si>
  <si>
    <t>J6</t>
  </si>
  <si>
    <t>J7</t>
  </si>
  <si>
    <t>Intervenciones</t>
  </si>
  <si>
    <t>Ventana de siembra</t>
  </si>
  <si>
    <t>Tiempo siembra-cosecha [meses]</t>
  </si>
  <si>
    <t>abr - may</t>
  </si>
  <si>
    <t>May - jun</t>
  </si>
  <si>
    <t>Abr - Jun</t>
  </si>
  <si>
    <t>may - jul</t>
  </si>
  <si>
    <t>may - jun</t>
  </si>
  <si>
    <t>jun - ago</t>
  </si>
  <si>
    <t>jun, jul</t>
  </si>
  <si>
    <t>jun -ago</t>
  </si>
  <si>
    <t>sep -nov</t>
  </si>
  <si>
    <t>sep - oct</t>
  </si>
  <si>
    <t>oct - nov - dic - ene</t>
  </si>
  <si>
    <t>nov - dic</t>
  </si>
  <si>
    <t>oct -  nov</t>
  </si>
  <si>
    <t>Feb - jun</t>
  </si>
  <si>
    <t>mar - Jun</t>
  </si>
  <si>
    <t>st_start (fecha)</t>
  </si>
  <si>
    <t>st_start (num)</t>
  </si>
  <si>
    <t>st_end (fecha)</t>
  </si>
  <si>
    <t>st_end (num)</t>
  </si>
  <si>
    <t>I_P</t>
  </si>
  <si>
    <t>I_S</t>
  </si>
  <si>
    <t>I_NOSEC</t>
  </si>
  <si>
    <t>Cultivos que no pueden ser consecutivos 2 años</t>
  </si>
  <si>
    <t>Cultivos principales</t>
  </si>
  <si>
    <t>Cultivos secundarios</t>
  </si>
  <si>
    <t>Slots</t>
  </si>
  <si>
    <t>AVENA CS</t>
  </si>
  <si>
    <t>R. GRASS CS</t>
  </si>
  <si>
    <t>C</t>
  </si>
  <si>
    <t>C1</t>
  </si>
  <si>
    <t>C2</t>
  </si>
  <si>
    <t>C3</t>
  </si>
  <si>
    <t>C_H</t>
  </si>
  <si>
    <t>L</t>
  </si>
  <si>
    <t>CH1</t>
  </si>
  <si>
    <t>CH2</t>
  </si>
  <si>
    <t>CH3</t>
  </si>
  <si>
    <t>L0</t>
  </si>
  <si>
    <t>L1</t>
  </si>
  <si>
    <t>L2</t>
  </si>
  <si>
    <t>L3</t>
  </si>
  <si>
    <t>L4</t>
  </si>
  <si>
    <t>L5</t>
  </si>
  <si>
    <t>Campañas históricas a considerar</t>
  </si>
  <si>
    <t>niveles de antiguedad de un cultivo sobre un lote</t>
  </si>
  <si>
    <t>Compatibilidad con tipos de suelo</t>
  </si>
  <si>
    <t>S1</t>
  </si>
  <si>
    <t>S2</t>
  </si>
  <si>
    <t>S3</t>
  </si>
  <si>
    <t>Molisol</t>
  </si>
  <si>
    <t>Alfisol</t>
  </si>
  <si>
    <t>Vertisol</t>
  </si>
  <si>
    <t>Crop history of each plot - xh</t>
  </si>
  <si>
    <t>α</t>
  </si>
  <si>
    <t>Tipos de Suelos</t>
  </si>
  <si>
    <t>Campañas</t>
  </si>
  <si>
    <t>3x#C</t>
  </si>
  <si>
    <t>#C + #C_H - 1</t>
  </si>
  <si>
    <t>yield_max (ton/ha) - Bolsa de comercio de Entre Ríos publica rendimientos promedio por departamento</t>
  </si>
  <si>
    <t>T4</t>
  </si>
  <si>
    <t>T5</t>
  </si>
  <si>
    <t>T6</t>
  </si>
  <si>
    <t>J8</t>
  </si>
  <si>
    <t>J9</t>
  </si>
  <si>
    <t>J10</t>
  </si>
  <si>
    <t>Precio de venta - fsp [USD/ton]</t>
  </si>
  <si>
    <t>Costo de siembra - sc [USD/ha]</t>
  </si>
  <si>
    <t>Costo de cosecha - hc [USD/ha]</t>
  </si>
  <si>
    <t>Costo de arrendamiento variable - vr [%]</t>
  </si>
  <si>
    <t>% de producción a acondicionar - scp [%]</t>
  </si>
  <si>
    <t>Costo de acondicionamiento - cp [USD/ton]</t>
  </si>
  <si>
    <t>Proporción destinada a flete corto o embolsado - st [%]</t>
  </si>
  <si>
    <t>Costo del flete corto o embolsado - cst [USD/ton]</t>
  </si>
  <si>
    <t>Costo de flete largo - clt [USD/ton]</t>
  </si>
  <si>
    <t>Tarifa comercialización - tf [%]</t>
  </si>
  <si>
    <t>Limite max Q de ha por cultivo-campaña (maxha)</t>
  </si>
  <si>
    <t>Limite min Q de ha por cultivo-campaña (minha)</t>
  </si>
  <si>
    <t>A</t>
  </si>
  <si>
    <t>M</t>
  </si>
  <si>
    <t>B</t>
  </si>
  <si>
    <t>Rendimiento por lote (py)</t>
  </si>
  <si>
    <t>Proporción de suelo por lote (ep)</t>
  </si>
  <si>
    <t>Costo de arrendamiento fijo - frc [USD/ha]</t>
  </si>
  <si>
    <t>Costo de SEMILLA - [USD/ha]</t>
  </si>
  <si>
    <t>Costo de AGROQUÍMICOS - [USD/ha]</t>
  </si>
  <si>
    <t>Costo de FERTILIZANTES - [USD/ha]</t>
  </si>
  <si>
    <t>Costo de LABORES - [USD/ha]</t>
  </si>
  <si>
    <t>Costo de ESTRUCTURA - [USD/ha]</t>
  </si>
  <si>
    <t>VICIA CS</t>
  </si>
  <si>
    <t>COSTOS DE SIEMBRA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</si>
</sst>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Aptos Narrow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1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vertical="center" textRotation="9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vertical="center" textRotation="9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14" fontId="0" fillId="0" borderId="0" xfId="0" applyNumberFormat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3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7" borderId="1" xfId="0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/>
    </xf>
    <xf numFmtId="1" fontId="0" fillId="0" borderId="0" xfId="0" applyNumberFormat="1"/>
    <xf numFmtId="0" fontId="11" fillId="0" borderId="0" xfId="0" applyFont="1"/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0" fillId="0" borderId="1" xfId="1" applyNumberFormat="1" applyFont="1" applyBorder="1"/>
    <xf numFmtId="0" fontId="0" fillId="0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0" fillId="6" borderId="0" xfId="0" applyFill="1"/>
    <xf numFmtId="0" fontId="0" fillId="0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 applyAlignment="1"/>
    <xf numFmtId="0" fontId="4" fillId="0" borderId="7" xfId="0" applyFont="1" applyBorder="1" applyAlignment="1"/>
    <xf numFmtId="0" fontId="0" fillId="0" borderId="0" xfId="0" applyBorder="1"/>
    <xf numFmtId="0" fontId="4" fillId="4" borderId="1" xfId="0" applyFont="1" applyFill="1" applyBorder="1" applyAlignment="1">
      <alignment horizontal="center"/>
    </xf>
    <xf numFmtId="2" fontId="0" fillId="6" borderId="1" xfId="1" applyNumberFormat="1" applyFont="1" applyFill="1" applyBorder="1" applyAlignment="1">
      <alignment horizontal="center"/>
    </xf>
    <xf numFmtId="2" fontId="0" fillId="6" borderId="1" xfId="1" applyNumberFormat="1" applyFont="1" applyFill="1" applyBorder="1"/>
    <xf numFmtId="0" fontId="4" fillId="4" borderId="6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0" fillId="0" borderId="1" xfId="0" applyNumberFormat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4" fillId="12" borderId="7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4" fillId="11" borderId="7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6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22</xdr:row>
      <xdr:rowOff>16328</xdr:rowOff>
    </xdr:from>
    <xdr:ext cx="3976310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CB4264A-4306-4930-BBAD-563386D48FF0}"/>
            </a:ext>
          </a:extLst>
        </xdr:cNvPr>
        <xdr:cNvSpPr txBox="1"/>
      </xdr:nvSpPr>
      <xdr:spPr>
        <a:xfrm>
          <a:off x="757162" y="4340376"/>
          <a:ext cx="397631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100" b="1"/>
            <a:t>El productor</a:t>
          </a:r>
          <a:r>
            <a:rPr lang="es-AR" sz="1100" b="1" baseline="0"/>
            <a:t> podrá elegir entre principales y secundarios</a:t>
          </a:r>
          <a:endParaRPr lang="es-AR" sz="11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23</xdr:row>
      <xdr:rowOff>49696</xdr:rowOff>
    </xdr:from>
    <xdr:ext cx="3056283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CC0F0FD-E5DB-40AA-86FC-F8FA53E7219F}"/>
            </a:ext>
          </a:extLst>
        </xdr:cNvPr>
        <xdr:cNvSpPr txBox="1"/>
      </xdr:nvSpPr>
      <xdr:spPr>
        <a:xfrm>
          <a:off x="7959587" y="4431196"/>
          <a:ext cx="3056283" cy="26456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100" b="0"/>
            <a:t>500 POR SER MAYOR QUE LA Q DE HA TOTAL</a:t>
          </a:r>
        </a:p>
      </xdr:txBody>
    </xdr:sp>
    <xdr:clientData/>
  </xdr:oneCellAnchor>
  <xdr:oneCellAnchor>
    <xdr:from>
      <xdr:col>0</xdr:col>
      <xdr:colOff>231913</xdr:colOff>
      <xdr:row>15</xdr:row>
      <xdr:rowOff>82826</xdr:rowOff>
    </xdr:from>
    <xdr:ext cx="2346925" cy="953466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35E70E5-B980-4588-B84A-FFCF43174A18}"/>
            </a:ext>
          </a:extLst>
        </xdr:cNvPr>
        <xdr:cNvSpPr txBox="1"/>
      </xdr:nvSpPr>
      <xdr:spPr>
        <a:xfrm>
          <a:off x="231913" y="2940326"/>
          <a:ext cx="2346925" cy="95346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REFERENCIAS</a:t>
          </a:r>
        </a:p>
        <a:p>
          <a:r>
            <a:rPr lang="es-ES" sz="1100"/>
            <a:t>J:</a:t>
          </a:r>
          <a:r>
            <a:rPr lang="es-ES" sz="1100" baseline="0"/>
            <a:t> Lotes</a:t>
          </a:r>
        </a:p>
        <a:p>
          <a:r>
            <a:rPr lang="es-ES" sz="1100" baseline="0"/>
            <a:t>ha: supericie (ha)</a:t>
          </a:r>
        </a:p>
        <a:p>
          <a:r>
            <a:rPr lang="es-ES" sz="1100" baseline="0"/>
            <a:t>max_m: máx Q de cultivos principales</a:t>
          </a:r>
        </a:p>
        <a:p>
          <a:r>
            <a:rPr lang="es-ES" sz="1100" baseline="0"/>
            <a:t>max_s: máx Q de cultivos secundarios</a:t>
          </a:r>
          <a:endParaRPr lang="es-ES" sz="1100"/>
        </a:p>
      </xdr:txBody>
    </xdr:sp>
    <xdr:clientData/>
  </xdr:oneCellAnchor>
  <xdr:oneCellAnchor>
    <xdr:from>
      <xdr:col>4</xdr:col>
      <xdr:colOff>745435</xdr:colOff>
      <xdr:row>13</xdr:row>
      <xdr:rowOff>53009</xdr:rowOff>
    </xdr:from>
    <xdr:ext cx="3039717" cy="1125693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FF74A0C-EE7A-4440-9C4C-647AFA2CC4D3}"/>
            </a:ext>
          </a:extLst>
        </xdr:cNvPr>
        <xdr:cNvSpPr txBox="1"/>
      </xdr:nvSpPr>
      <xdr:spPr>
        <a:xfrm>
          <a:off x="3793435" y="2529509"/>
          <a:ext cx="3039717" cy="112569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/>
            <a:t>REFERENCIAS:</a:t>
          </a:r>
        </a:p>
        <a:p>
          <a:r>
            <a:rPr lang="es-ES" sz="1100"/>
            <a:t>S1:</a:t>
          </a:r>
          <a:r>
            <a:rPr lang="es-ES" sz="1100" baseline="0"/>
            <a:t> Molisol</a:t>
          </a:r>
        </a:p>
        <a:p>
          <a:r>
            <a:rPr lang="es-ES" sz="1100" baseline="0"/>
            <a:t>S2: Alfisol</a:t>
          </a:r>
        </a:p>
        <a:p>
          <a:r>
            <a:rPr lang="es-ES" sz="1100" baseline="0"/>
            <a:t>S3: Vertisol</a:t>
          </a:r>
        </a:p>
        <a:p>
          <a:endParaRPr lang="es-ES" sz="1100" baseline="0"/>
        </a:p>
        <a:p>
          <a:r>
            <a:rPr lang="es-ES" sz="1100" baseline="0"/>
            <a:t>DEBE SUMAR 1 CADA FILA DE LA TABLA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22</xdr:row>
      <xdr:rowOff>85725</xdr:rowOff>
    </xdr:from>
    <xdr:ext cx="2722861" cy="609013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444B083-5082-41B0-B0AD-999E8F81C29B}"/>
            </a:ext>
          </a:extLst>
        </xdr:cNvPr>
        <xdr:cNvSpPr txBox="1"/>
      </xdr:nvSpPr>
      <xdr:spPr>
        <a:xfrm>
          <a:off x="352425" y="4276725"/>
          <a:ext cx="2722861" cy="609013"/>
        </a:xfrm>
        <a:prstGeom prst="rect">
          <a:avLst/>
        </a:prstGeom>
        <a:solidFill>
          <a:schemeClr val="accent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gt: días</a:t>
          </a:r>
          <a:r>
            <a:rPr lang="en-US" sz="1100" baseline="0"/>
            <a:t> entre siembra y cosecha del cultivo i</a:t>
          </a:r>
        </a:p>
        <a:p>
          <a:r>
            <a:rPr lang="en-US" sz="1100" baseline="0"/>
            <a:t>st_start: día de inicio de ventana de siembra</a:t>
          </a:r>
        </a:p>
        <a:p>
          <a:r>
            <a:rPr lang="en-US" sz="1100" baseline="0"/>
            <a:t>st_end: día final de ventana de siembra</a:t>
          </a:r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5777-D7CD-4881-94AA-75BC2ECD61AA}">
  <dimension ref="A1:Q366"/>
  <sheetViews>
    <sheetView topLeftCell="B1" zoomScale="85" zoomScaleNormal="85" workbookViewId="0">
      <selection activeCell="P37" sqref="A1:K202"/>
    </sheetView>
  </sheetViews>
  <sheetFormatPr baseColWidth="10" defaultRowHeight="15"/>
  <cols>
    <col min="1" max="1" width="9.140625" customWidth="1"/>
    <col min="2" max="2" width="15" bestFit="1" customWidth="1"/>
    <col min="3" max="3" width="14" bestFit="1" customWidth="1"/>
    <col min="4" max="4" width="25.5703125" customWidth="1"/>
    <col min="5" max="11" width="19.85546875" customWidth="1"/>
    <col min="14" max="14" width="15.85546875" bestFit="1" customWidth="1"/>
    <col min="15" max="15" width="14.7109375" bestFit="1" customWidth="1"/>
    <col min="16" max="16" width="45.42578125" bestFit="1" customWidth="1"/>
    <col min="17" max="17" width="12" bestFit="1" customWidth="1"/>
  </cols>
  <sheetData>
    <row r="1" spans="1:17">
      <c r="A1" s="11" t="s">
        <v>24</v>
      </c>
      <c r="B1" s="11" t="s">
        <v>23</v>
      </c>
      <c r="C1" s="11" t="s">
        <v>79</v>
      </c>
      <c r="D1" s="11" t="s">
        <v>77</v>
      </c>
      <c r="E1" s="11" t="s">
        <v>78</v>
      </c>
      <c r="F1" s="11" t="s">
        <v>25</v>
      </c>
      <c r="G1" s="11" t="s">
        <v>3</v>
      </c>
      <c r="H1" s="11" t="s">
        <v>30</v>
      </c>
      <c r="I1" s="11" t="s">
        <v>31</v>
      </c>
      <c r="J1" s="11" t="s">
        <v>86</v>
      </c>
      <c r="K1" s="11" t="s">
        <v>4</v>
      </c>
      <c r="L1" s="39" t="s">
        <v>90</v>
      </c>
      <c r="M1" s="39" t="s">
        <v>91</v>
      </c>
      <c r="O1" s="66" t="s">
        <v>26</v>
      </c>
      <c r="P1" s="67"/>
    </row>
    <row r="2" spans="1:17" s="9" customFormat="1" ht="15" customHeight="1">
      <c r="A2" s="10" t="s">
        <v>48</v>
      </c>
      <c r="B2" s="10" t="s">
        <v>5</v>
      </c>
      <c r="C2" s="10" t="s">
        <v>5</v>
      </c>
      <c r="D2" s="1" t="s">
        <v>15</v>
      </c>
      <c r="E2" s="10" t="s">
        <v>84</v>
      </c>
      <c r="F2" s="10" t="s">
        <v>104</v>
      </c>
      <c r="G2" s="10" t="s">
        <v>35</v>
      </c>
      <c r="H2" s="10" t="s">
        <v>35</v>
      </c>
      <c r="I2" s="10" t="s">
        <v>37</v>
      </c>
      <c r="J2" s="10" t="s">
        <v>87</v>
      </c>
      <c r="K2" s="12" t="s">
        <v>0</v>
      </c>
      <c r="L2" s="12" t="s">
        <v>92</v>
      </c>
      <c r="M2" s="12" t="s">
        <v>95</v>
      </c>
      <c r="O2" s="10" t="s">
        <v>24</v>
      </c>
      <c r="P2" s="10" t="s">
        <v>27</v>
      </c>
    </row>
    <row r="3" spans="1:17" s="9" customFormat="1" ht="15.75" customHeight="1">
      <c r="A3" s="10" t="s">
        <v>49</v>
      </c>
      <c r="B3" s="10" t="s">
        <v>6</v>
      </c>
      <c r="C3" s="10" t="s">
        <v>6</v>
      </c>
      <c r="D3" s="1" t="s">
        <v>16</v>
      </c>
      <c r="E3" s="10" t="s">
        <v>85</v>
      </c>
      <c r="F3" s="10" t="s">
        <v>105</v>
      </c>
      <c r="G3" s="10" t="s">
        <v>36</v>
      </c>
      <c r="H3" s="10" t="s">
        <v>36</v>
      </c>
      <c r="I3" s="10" t="s">
        <v>38</v>
      </c>
      <c r="J3" s="10" t="s">
        <v>88</v>
      </c>
      <c r="K3" s="12" t="s">
        <v>1</v>
      </c>
      <c r="L3" s="12" t="s">
        <v>93</v>
      </c>
      <c r="M3" s="12" t="s">
        <v>96</v>
      </c>
      <c r="O3" s="10" t="s">
        <v>23</v>
      </c>
      <c r="P3" s="10" t="s">
        <v>28</v>
      </c>
    </row>
    <row r="4" spans="1:17" s="9" customFormat="1" ht="15.75" customHeight="1">
      <c r="A4" s="10" t="s">
        <v>50</v>
      </c>
      <c r="B4" s="10" t="s">
        <v>7</v>
      </c>
      <c r="C4" s="10" t="s">
        <v>7</v>
      </c>
      <c r="D4" s="1" t="s">
        <v>17</v>
      </c>
      <c r="E4" s="1" t="s">
        <v>146</v>
      </c>
      <c r="F4" s="10" t="s">
        <v>106</v>
      </c>
      <c r="G4" s="10" t="s">
        <v>37</v>
      </c>
      <c r="H4" s="10"/>
      <c r="I4" s="10" t="s">
        <v>39</v>
      </c>
      <c r="J4" s="10" t="s">
        <v>89</v>
      </c>
      <c r="K4" s="12" t="s">
        <v>2</v>
      </c>
      <c r="L4" s="12" t="s">
        <v>94</v>
      </c>
      <c r="M4" s="12" t="s">
        <v>97</v>
      </c>
      <c r="O4" s="10" t="s">
        <v>79</v>
      </c>
      <c r="P4" s="10" t="s">
        <v>80</v>
      </c>
    </row>
    <row r="5" spans="1:17" s="9" customFormat="1" ht="15.75" customHeight="1">
      <c r="A5" s="10" t="s">
        <v>51</v>
      </c>
      <c r="B5" s="10" t="s">
        <v>8</v>
      </c>
      <c r="C5" s="10" t="s">
        <v>8</v>
      </c>
      <c r="D5" s="1" t="s">
        <v>18</v>
      </c>
      <c r="E5" s="57" t="s">
        <v>10</v>
      </c>
      <c r="F5" s="10"/>
      <c r="G5" s="10" t="s">
        <v>38</v>
      </c>
      <c r="H5" s="10"/>
      <c r="I5" s="10"/>
      <c r="J5" s="10"/>
      <c r="K5" s="12" t="s">
        <v>117</v>
      </c>
      <c r="L5" s="12"/>
      <c r="M5" s="12" t="s">
        <v>98</v>
      </c>
      <c r="O5" s="10" t="s">
        <v>77</v>
      </c>
      <c r="P5" s="10" t="s">
        <v>81</v>
      </c>
    </row>
    <row r="6" spans="1:17" s="9" customFormat="1" ht="15.75" customHeight="1">
      <c r="A6" s="10" t="s">
        <v>52</v>
      </c>
      <c r="B6" s="10" t="s">
        <v>9</v>
      </c>
      <c r="C6" s="10" t="s">
        <v>9</v>
      </c>
      <c r="D6" s="10" t="s">
        <v>9</v>
      </c>
      <c r="E6" s="10"/>
      <c r="F6" s="10"/>
      <c r="G6" s="10" t="s">
        <v>39</v>
      </c>
      <c r="H6" s="10"/>
      <c r="I6" s="10"/>
      <c r="J6" s="10"/>
      <c r="K6" s="12" t="s">
        <v>118</v>
      </c>
      <c r="L6" s="12"/>
      <c r="M6" s="12" t="s">
        <v>99</v>
      </c>
      <c r="O6" s="10" t="s">
        <v>78</v>
      </c>
      <c r="P6" s="10" t="s">
        <v>82</v>
      </c>
    </row>
    <row r="7" spans="1:17" s="9" customFormat="1" ht="15.75" customHeight="1">
      <c r="A7" s="10" t="s">
        <v>53</v>
      </c>
      <c r="B7" s="57" t="s">
        <v>10</v>
      </c>
      <c r="C7" s="10" t="s">
        <v>10</v>
      </c>
      <c r="D7" s="10" t="s">
        <v>5</v>
      </c>
      <c r="E7" s="10"/>
      <c r="F7" s="10"/>
      <c r="G7" s="10"/>
      <c r="H7" s="10"/>
      <c r="I7" s="10"/>
      <c r="J7" s="10"/>
      <c r="K7" s="12" t="s">
        <v>119</v>
      </c>
      <c r="L7" s="12"/>
      <c r="M7" s="12" t="s">
        <v>100</v>
      </c>
      <c r="O7" s="10" t="s">
        <v>25</v>
      </c>
      <c r="P7" s="10" t="s">
        <v>29</v>
      </c>
    </row>
    <row r="8" spans="1:17" s="9" customFormat="1" ht="15.75" customHeight="1">
      <c r="A8" s="10" t="s">
        <v>54</v>
      </c>
      <c r="B8" s="10" t="s">
        <v>11</v>
      </c>
      <c r="C8" s="10" t="s">
        <v>11</v>
      </c>
      <c r="D8" s="54"/>
      <c r="E8" s="10"/>
      <c r="F8" s="10"/>
      <c r="G8" s="10"/>
      <c r="H8" s="10"/>
      <c r="I8" s="10"/>
      <c r="J8" s="10"/>
      <c r="K8" s="12"/>
      <c r="L8" s="12"/>
      <c r="M8" s="12"/>
      <c r="O8" s="10" t="s">
        <v>3</v>
      </c>
      <c r="P8" s="10" t="s">
        <v>32</v>
      </c>
    </row>
    <row r="9" spans="1:17" s="9" customFormat="1">
      <c r="A9" s="10" t="s">
        <v>120</v>
      </c>
      <c r="B9" s="10" t="s">
        <v>12</v>
      </c>
      <c r="C9" s="10" t="s">
        <v>12</v>
      </c>
      <c r="D9" s="54"/>
      <c r="E9" s="10"/>
      <c r="F9" s="10"/>
      <c r="G9" s="10"/>
      <c r="H9" s="10"/>
      <c r="I9" s="10"/>
      <c r="J9" s="10"/>
      <c r="K9" s="12"/>
      <c r="L9" s="12"/>
      <c r="M9" s="12"/>
      <c r="O9" s="10" t="s">
        <v>30</v>
      </c>
      <c r="P9" s="10" t="s">
        <v>33</v>
      </c>
    </row>
    <row r="10" spans="1:17" s="9" customFormat="1">
      <c r="A10" s="10" t="s">
        <v>121</v>
      </c>
      <c r="B10" s="10" t="s">
        <v>13</v>
      </c>
      <c r="C10" s="10" t="s">
        <v>13</v>
      </c>
      <c r="D10" s="1"/>
      <c r="E10" s="10"/>
      <c r="F10" s="10"/>
      <c r="G10" s="10"/>
      <c r="H10" s="10"/>
      <c r="I10" s="10"/>
      <c r="J10" s="10"/>
      <c r="K10" s="12"/>
      <c r="L10" s="12"/>
      <c r="M10" s="12"/>
      <c r="O10" s="10" t="s">
        <v>31</v>
      </c>
      <c r="P10" s="10" t="s">
        <v>34</v>
      </c>
    </row>
    <row r="11" spans="1:17" s="9" customFormat="1">
      <c r="A11" s="10" t="s">
        <v>122</v>
      </c>
      <c r="B11" s="10" t="s">
        <v>14</v>
      </c>
      <c r="C11" s="10" t="s">
        <v>14</v>
      </c>
      <c r="D11" s="1"/>
      <c r="E11" s="10"/>
      <c r="F11" s="10"/>
      <c r="G11" s="10"/>
      <c r="H11" s="10"/>
      <c r="I11" s="10"/>
      <c r="J11" s="10"/>
      <c r="K11" s="12"/>
      <c r="L11" s="12"/>
      <c r="M11" s="12"/>
      <c r="O11" s="10" t="s">
        <v>86</v>
      </c>
      <c r="P11" s="10" t="s">
        <v>113</v>
      </c>
    </row>
    <row r="12" spans="1:17" s="9" customFormat="1">
      <c r="A12" s="10"/>
      <c r="B12" s="10" t="s">
        <v>15</v>
      </c>
      <c r="C12" s="10" t="s">
        <v>15</v>
      </c>
      <c r="D12" s="1"/>
      <c r="E12" s="10"/>
      <c r="F12" s="10"/>
      <c r="G12" s="10"/>
      <c r="H12" s="10"/>
      <c r="I12" s="10"/>
      <c r="J12" s="10"/>
      <c r="K12" s="12"/>
      <c r="L12" s="12"/>
      <c r="M12" s="12"/>
      <c r="O12" s="10" t="s">
        <v>4</v>
      </c>
      <c r="P12" s="10" t="s">
        <v>83</v>
      </c>
      <c r="Q12" s="9" t="s">
        <v>114</v>
      </c>
    </row>
    <row r="13" spans="1:17" s="9" customFormat="1">
      <c r="A13" s="10"/>
      <c r="B13" s="10" t="s">
        <v>16</v>
      </c>
      <c r="C13" s="10" t="s">
        <v>16</v>
      </c>
      <c r="D13" s="10"/>
      <c r="E13" s="10"/>
      <c r="F13" s="10"/>
      <c r="G13" s="10"/>
      <c r="H13" s="10"/>
      <c r="I13" s="10"/>
      <c r="J13" s="10"/>
      <c r="K13" s="12"/>
      <c r="L13" s="12"/>
      <c r="M13" s="12"/>
      <c r="O13" s="10" t="s">
        <v>90</v>
      </c>
      <c r="P13" s="10" t="s">
        <v>101</v>
      </c>
    </row>
    <row r="14" spans="1:17" s="9" customFormat="1">
      <c r="A14" s="10"/>
      <c r="B14" s="10" t="s">
        <v>17</v>
      </c>
      <c r="C14" s="10" t="s">
        <v>17</v>
      </c>
      <c r="D14" s="10"/>
      <c r="E14" s="10"/>
      <c r="F14" s="13"/>
      <c r="G14" s="13"/>
      <c r="H14" s="13"/>
      <c r="I14" s="13"/>
      <c r="J14" s="13"/>
      <c r="K14" s="12"/>
      <c r="L14" s="13"/>
      <c r="M14" s="13"/>
      <c r="O14" s="10" t="s">
        <v>91</v>
      </c>
      <c r="P14" s="10" t="s">
        <v>102</v>
      </c>
      <c r="Q14" s="9" t="s">
        <v>115</v>
      </c>
    </row>
    <row r="15" spans="1:17" s="9" customFormat="1">
      <c r="A15" s="10"/>
      <c r="B15" s="10" t="s">
        <v>18</v>
      </c>
      <c r="C15" s="10" t="s">
        <v>18</v>
      </c>
      <c r="D15" s="10"/>
      <c r="E15" s="13"/>
      <c r="F15" s="13"/>
      <c r="G15" s="13"/>
      <c r="H15" s="13"/>
      <c r="I15" s="13"/>
      <c r="J15" s="13"/>
      <c r="K15" s="12"/>
      <c r="L15" s="13"/>
      <c r="M15" s="13"/>
    </row>
    <row r="16" spans="1:17">
      <c r="A16" s="14"/>
      <c r="B16" s="1" t="s">
        <v>19</v>
      </c>
      <c r="C16" s="1" t="s">
        <v>19</v>
      </c>
      <c r="D16" s="2"/>
      <c r="E16" s="15"/>
      <c r="F16" s="15"/>
      <c r="G16" s="15"/>
      <c r="H16" s="15"/>
      <c r="I16" s="15"/>
      <c r="J16" s="15"/>
      <c r="K16" s="12"/>
      <c r="L16" s="15"/>
      <c r="M16" s="15"/>
    </row>
    <row r="17" spans="1:16">
      <c r="A17" s="14"/>
      <c r="B17" s="1" t="s">
        <v>20</v>
      </c>
      <c r="C17" s="1" t="s">
        <v>20</v>
      </c>
      <c r="D17" s="2"/>
      <c r="E17" s="15"/>
      <c r="F17" s="15"/>
      <c r="G17" s="15"/>
      <c r="H17" s="15"/>
      <c r="I17" s="15"/>
      <c r="J17" s="15"/>
      <c r="K17" s="12"/>
      <c r="L17" s="15"/>
      <c r="M17" s="15"/>
    </row>
    <row r="18" spans="1:16" ht="15" customHeight="1">
      <c r="A18" s="2"/>
      <c r="B18" s="10" t="s">
        <v>84</v>
      </c>
      <c r="C18" s="1" t="s">
        <v>146</v>
      </c>
      <c r="D18" s="2"/>
      <c r="E18" s="15"/>
      <c r="F18" s="15"/>
      <c r="G18" s="15"/>
      <c r="H18" s="15"/>
      <c r="I18" s="15"/>
      <c r="J18" s="15"/>
      <c r="K18" s="12"/>
      <c r="L18" s="15"/>
      <c r="M18" s="15"/>
      <c r="O18" s="62" t="s">
        <v>112</v>
      </c>
      <c r="P18" s="62"/>
    </row>
    <row r="19" spans="1:16">
      <c r="A19" s="2"/>
      <c r="B19" s="10" t="s">
        <v>85</v>
      </c>
      <c r="C19" s="10"/>
      <c r="D19" s="2"/>
      <c r="E19" s="15"/>
      <c r="F19" s="15"/>
      <c r="G19" s="15"/>
      <c r="H19" s="15"/>
      <c r="I19" s="15"/>
      <c r="J19" s="15"/>
      <c r="K19" s="12"/>
      <c r="L19" s="15"/>
      <c r="M19" s="15"/>
      <c r="O19" s="49" t="s">
        <v>104</v>
      </c>
      <c r="P19" s="49" t="s">
        <v>107</v>
      </c>
    </row>
    <row r="20" spans="1:16">
      <c r="A20" s="14"/>
      <c r="B20" s="1" t="s">
        <v>146</v>
      </c>
      <c r="D20" s="2"/>
      <c r="E20" s="15"/>
      <c r="F20" s="15"/>
      <c r="G20" s="15"/>
      <c r="H20" s="15"/>
      <c r="I20" s="15"/>
      <c r="J20" s="15"/>
      <c r="K20" s="12"/>
      <c r="L20" s="15"/>
      <c r="M20" s="15"/>
      <c r="O20" s="49" t="s">
        <v>105</v>
      </c>
      <c r="P20" s="49" t="s">
        <v>108</v>
      </c>
    </row>
    <row r="21" spans="1:16">
      <c r="A21" s="14"/>
      <c r="B21" s="1" t="s">
        <v>21</v>
      </c>
      <c r="C21" s="16"/>
      <c r="D21" s="2"/>
      <c r="E21" s="15"/>
      <c r="F21" s="15"/>
      <c r="G21" s="15"/>
      <c r="H21" s="15"/>
      <c r="I21" s="15"/>
      <c r="J21" s="15"/>
      <c r="K21" s="12"/>
      <c r="L21" s="15"/>
      <c r="M21" s="15"/>
      <c r="O21" s="49" t="s">
        <v>106</v>
      </c>
      <c r="P21" s="49" t="s">
        <v>109</v>
      </c>
    </row>
    <row r="22" spans="1:16">
      <c r="A22" s="5"/>
      <c r="B22" s="8"/>
      <c r="C22" s="8"/>
      <c r="E22" s="7"/>
      <c r="F22" s="7"/>
      <c r="G22" s="7"/>
      <c r="H22" s="7"/>
      <c r="I22" s="7"/>
      <c r="J22" s="7"/>
      <c r="K22" s="12"/>
    </row>
    <row r="23" spans="1:16">
      <c r="A23" s="5"/>
      <c r="B23" s="8"/>
      <c r="C23" s="8"/>
      <c r="E23" s="7"/>
      <c r="F23" s="7"/>
      <c r="G23" s="7"/>
      <c r="H23" s="7"/>
      <c r="I23" s="7"/>
      <c r="J23" s="7"/>
      <c r="K23" s="12"/>
    </row>
    <row r="24" spans="1:16">
      <c r="A24" s="5"/>
      <c r="B24" s="8"/>
      <c r="C24" s="8"/>
      <c r="E24" s="7"/>
      <c r="F24" s="7"/>
      <c r="G24" s="7"/>
      <c r="H24" s="7"/>
      <c r="I24" s="7"/>
      <c r="J24" s="7"/>
      <c r="K24" s="12"/>
    </row>
    <row r="25" spans="1:16">
      <c r="A25" s="5"/>
      <c r="B25" s="8"/>
      <c r="C25" s="8"/>
      <c r="E25" s="7"/>
      <c r="F25" s="7"/>
      <c r="G25" s="7"/>
      <c r="H25" s="7"/>
      <c r="I25" s="7"/>
      <c r="J25" s="7"/>
      <c r="K25" s="12"/>
      <c r="N25" s="52"/>
    </row>
    <row r="26" spans="1:16">
      <c r="A26" s="5"/>
      <c r="B26" s="8"/>
      <c r="C26" s="8"/>
      <c r="E26" s="7"/>
      <c r="F26" s="7"/>
      <c r="G26" s="7"/>
      <c r="H26" s="7"/>
      <c r="I26" s="7"/>
      <c r="J26" s="7"/>
      <c r="K26" s="12"/>
    </row>
    <row r="27" spans="1:16">
      <c r="A27" s="5"/>
      <c r="B27" s="8"/>
      <c r="C27" s="8"/>
      <c r="E27" s="7"/>
      <c r="F27" s="7"/>
      <c r="G27" s="7"/>
      <c r="H27" s="7"/>
      <c r="I27" s="7"/>
      <c r="J27" s="7"/>
      <c r="K27" s="12"/>
    </row>
    <row r="28" spans="1:16">
      <c r="A28" s="5"/>
      <c r="B28" s="8"/>
      <c r="C28" s="8"/>
      <c r="E28" s="7"/>
      <c r="F28" s="7"/>
      <c r="G28" s="7"/>
      <c r="H28" s="7"/>
      <c r="I28" s="7"/>
      <c r="J28" s="7"/>
      <c r="K28" s="12"/>
    </row>
    <row r="29" spans="1:16">
      <c r="A29" s="5"/>
      <c r="B29" s="8"/>
      <c r="C29" s="8"/>
      <c r="E29" s="7"/>
      <c r="F29" s="7"/>
      <c r="G29" s="7"/>
      <c r="H29" s="7"/>
      <c r="I29" s="7"/>
      <c r="J29" s="7"/>
      <c r="K29" s="12"/>
    </row>
    <row r="30" spans="1:16">
      <c r="A30" s="5"/>
      <c r="B30" s="8"/>
      <c r="C30" s="8"/>
      <c r="F30" s="7"/>
      <c r="G30" s="7"/>
      <c r="H30" s="7"/>
      <c r="I30" s="7"/>
      <c r="J30" s="7"/>
      <c r="K30" s="12"/>
    </row>
    <row r="31" spans="1:16">
      <c r="A31" s="5"/>
      <c r="B31" s="8"/>
      <c r="C31" s="8"/>
      <c r="F31" s="7"/>
      <c r="G31" s="7"/>
      <c r="H31" s="7"/>
      <c r="I31" s="7"/>
      <c r="J31" s="7"/>
      <c r="K31" s="12"/>
    </row>
    <row r="32" spans="1:16">
      <c r="A32" s="5"/>
      <c r="B32" s="8"/>
      <c r="C32" s="8"/>
      <c r="F32" s="7"/>
      <c r="G32" s="7"/>
      <c r="H32" s="7"/>
      <c r="I32" s="7"/>
      <c r="J32" s="7"/>
      <c r="K32" s="12"/>
    </row>
    <row r="33" spans="1:11">
      <c r="A33" s="5"/>
      <c r="B33" s="8"/>
      <c r="C33" s="8"/>
      <c r="F33" s="7"/>
      <c r="G33" s="7"/>
      <c r="H33" s="7"/>
      <c r="I33" s="7"/>
      <c r="J33" s="7"/>
      <c r="K33" s="12"/>
    </row>
    <row r="34" spans="1:11">
      <c r="A34" s="5"/>
      <c r="B34" s="8"/>
      <c r="C34" s="8"/>
      <c r="F34" s="7"/>
      <c r="G34" s="7"/>
      <c r="H34" s="7"/>
      <c r="I34" s="7"/>
      <c r="J34" s="7"/>
      <c r="K34" s="12"/>
    </row>
    <row r="35" spans="1:11">
      <c r="A35" s="5"/>
      <c r="B35" s="8"/>
      <c r="C35" s="8"/>
      <c r="F35" s="7"/>
      <c r="G35" s="7"/>
      <c r="H35" s="7"/>
      <c r="I35" s="7"/>
      <c r="J35" s="7"/>
      <c r="K35" s="12"/>
    </row>
    <row r="36" spans="1:11">
      <c r="A36" s="5"/>
      <c r="B36" s="8"/>
      <c r="C36" s="8"/>
      <c r="F36" s="7"/>
      <c r="G36" s="7"/>
      <c r="H36" s="7"/>
      <c r="I36" s="7"/>
      <c r="J36" s="7"/>
      <c r="K36" s="12"/>
    </row>
    <row r="37" spans="1:11">
      <c r="A37" s="5"/>
      <c r="B37" s="8"/>
      <c r="C37" s="8"/>
      <c r="F37" s="7"/>
      <c r="G37" s="7"/>
      <c r="H37" s="7"/>
      <c r="I37" s="7"/>
      <c r="J37" s="7"/>
      <c r="K37" s="12"/>
    </row>
    <row r="38" spans="1:11">
      <c r="A38" s="5"/>
      <c r="B38" s="8"/>
      <c r="C38" s="8"/>
      <c r="F38" s="7"/>
      <c r="G38" s="7"/>
      <c r="H38" s="7"/>
      <c r="I38" s="7"/>
      <c r="J38" s="7"/>
      <c r="K38" s="12"/>
    </row>
    <row r="39" spans="1:11">
      <c r="A39" s="5"/>
      <c r="B39" s="8"/>
      <c r="C39" s="8"/>
      <c r="F39" s="7"/>
      <c r="G39" s="7"/>
      <c r="H39" s="7"/>
      <c r="I39" s="7"/>
      <c r="J39" s="7"/>
      <c r="K39" s="12"/>
    </row>
    <row r="40" spans="1:11">
      <c r="A40" s="5"/>
      <c r="B40" s="8"/>
      <c r="C40" s="8"/>
      <c r="F40" s="7"/>
      <c r="G40" s="7"/>
      <c r="H40" s="7"/>
      <c r="I40" s="7"/>
      <c r="J40" s="7"/>
      <c r="K40" s="12"/>
    </row>
    <row r="41" spans="1:11">
      <c r="A41" s="5"/>
      <c r="B41" s="8"/>
      <c r="C41" s="8"/>
      <c r="F41" s="7"/>
      <c r="G41" s="7"/>
      <c r="H41" s="7"/>
      <c r="I41" s="7"/>
      <c r="J41" s="7"/>
      <c r="K41" s="12"/>
    </row>
    <row r="42" spans="1:11">
      <c r="A42" s="5"/>
      <c r="B42" s="8"/>
      <c r="C42" s="8"/>
      <c r="F42" s="7"/>
      <c r="G42" s="7"/>
      <c r="H42" s="7"/>
      <c r="I42" s="7"/>
      <c r="J42" s="7"/>
      <c r="K42" s="12"/>
    </row>
    <row r="43" spans="1:11">
      <c r="A43" s="5"/>
      <c r="B43" s="8"/>
      <c r="C43" s="8"/>
      <c r="F43" s="7"/>
      <c r="G43" s="7"/>
      <c r="H43" s="7"/>
      <c r="I43" s="7"/>
      <c r="J43" s="7"/>
      <c r="K43" s="12"/>
    </row>
    <row r="44" spans="1:11">
      <c r="A44" s="5"/>
      <c r="B44" s="8"/>
      <c r="C44" s="8"/>
      <c r="F44" s="7"/>
      <c r="G44" s="7"/>
      <c r="H44" s="7"/>
      <c r="I44" s="7"/>
      <c r="J44" s="7"/>
      <c r="K44" s="12"/>
    </row>
    <row r="45" spans="1:11">
      <c r="A45" s="5"/>
      <c r="B45" s="8"/>
      <c r="C45" s="8"/>
      <c r="F45" s="7"/>
      <c r="G45" s="7"/>
      <c r="H45" s="7"/>
      <c r="I45" s="7"/>
      <c r="J45" s="7"/>
      <c r="K45" s="12"/>
    </row>
    <row r="46" spans="1:11">
      <c r="K46" s="12"/>
    </row>
    <row r="47" spans="1:11">
      <c r="K47" s="12"/>
    </row>
    <row r="48" spans="1:11">
      <c r="K48" s="12"/>
    </row>
    <row r="49" spans="11:11">
      <c r="K49" s="12"/>
    </row>
    <row r="50" spans="11:11">
      <c r="K50" s="12"/>
    </row>
    <row r="51" spans="11:11">
      <c r="K51" s="12"/>
    </row>
    <row r="52" spans="11:11">
      <c r="K52" s="12"/>
    </row>
    <row r="53" spans="11:11" ht="15" customHeight="1">
      <c r="K53" s="12"/>
    </row>
    <row r="54" spans="11:11">
      <c r="K54" s="12"/>
    </row>
    <row r="55" spans="11:11">
      <c r="K55" s="12"/>
    </row>
    <row r="56" spans="11:11">
      <c r="K56" s="12"/>
    </row>
    <row r="57" spans="11:11">
      <c r="K57" s="12"/>
    </row>
    <row r="58" spans="11:11">
      <c r="K58" s="12"/>
    </row>
    <row r="59" spans="11:11">
      <c r="K59" s="12"/>
    </row>
    <row r="60" spans="11:11">
      <c r="K60" s="12"/>
    </row>
    <row r="61" spans="11:11">
      <c r="K61" s="12"/>
    </row>
    <row r="62" spans="11:11">
      <c r="K62" s="12"/>
    </row>
    <row r="63" spans="11:11">
      <c r="K63" s="12"/>
    </row>
    <row r="64" spans="11:11">
      <c r="K64" s="12"/>
    </row>
    <row r="65" spans="11:11">
      <c r="K65" s="12"/>
    </row>
    <row r="66" spans="11:11">
      <c r="K66" s="12"/>
    </row>
    <row r="67" spans="11:11">
      <c r="K67" s="12"/>
    </row>
    <row r="68" spans="11:11">
      <c r="K68" s="12"/>
    </row>
    <row r="69" spans="11:11">
      <c r="K69" s="12"/>
    </row>
    <row r="70" spans="11:11">
      <c r="K70" s="12"/>
    </row>
    <row r="71" spans="11:11">
      <c r="K71" s="12"/>
    </row>
    <row r="72" spans="11:11">
      <c r="K72" s="12"/>
    </row>
    <row r="73" spans="11:11">
      <c r="K73" s="12"/>
    </row>
    <row r="74" spans="11:11">
      <c r="K74" s="12"/>
    </row>
    <row r="75" spans="11:11">
      <c r="K75" s="12"/>
    </row>
    <row r="76" spans="11:11">
      <c r="K76" s="12"/>
    </row>
    <row r="77" spans="11:11">
      <c r="K77" s="12"/>
    </row>
    <row r="78" spans="11:11">
      <c r="K78" s="12"/>
    </row>
    <row r="79" spans="11:11">
      <c r="K79" s="12"/>
    </row>
    <row r="80" spans="11:11">
      <c r="K80" s="12"/>
    </row>
    <row r="81" spans="11:11">
      <c r="K81" s="12"/>
    </row>
    <row r="82" spans="11:11">
      <c r="K82" s="12"/>
    </row>
    <row r="83" spans="11:11">
      <c r="K83" s="12"/>
    </row>
    <row r="84" spans="11:11">
      <c r="K84" s="12"/>
    </row>
    <row r="85" spans="11:11">
      <c r="K85" s="12"/>
    </row>
    <row r="86" spans="11:11">
      <c r="K86" s="12"/>
    </row>
    <row r="87" spans="11:11">
      <c r="K87" s="12"/>
    </row>
    <row r="88" spans="11:11">
      <c r="K88" s="12"/>
    </row>
    <row r="89" spans="11:11">
      <c r="K89" s="12"/>
    </row>
    <row r="90" spans="11:11">
      <c r="K90" s="12"/>
    </row>
    <row r="91" spans="11:11">
      <c r="K91" s="12"/>
    </row>
    <row r="92" spans="11:11">
      <c r="K92" s="12"/>
    </row>
    <row r="93" spans="11:11">
      <c r="K93" s="12"/>
    </row>
    <row r="94" spans="11:11">
      <c r="K94" s="12"/>
    </row>
    <row r="95" spans="11:11">
      <c r="K95" s="12"/>
    </row>
    <row r="96" spans="11:11">
      <c r="K96" s="12"/>
    </row>
    <row r="97" spans="11:11">
      <c r="K97" s="12"/>
    </row>
    <row r="98" spans="11:11">
      <c r="K98" s="12"/>
    </row>
    <row r="99" spans="11:11">
      <c r="K99" s="12"/>
    </row>
    <row r="100" spans="11:11">
      <c r="K100" s="12"/>
    </row>
    <row r="101" spans="11:11">
      <c r="K101" s="12"/>
    </row>
    <row r="102" spans="11:11">
      <c r="K102" s="12"/>
    </row>
    <row r="103" spans="11:11">
      <c r="K103" s="12"/>
    </row>
    <row r="104" spans="11:11">
      <c r="K104" s="12"/>
    </row>
    <row r="105" spans="11:11">
      <c r="K105" s="12"/>
    </row>
    <row r="106" spans="11:11">
      <c r="K106" s="12"/>
    </row>
    <row r="107" spans="11:11">
      <c r="K107" s="12"/>
    </row>
    <row r="108" spans="11:11">
      <c r="K108" s="12"/>
    </row>
    <row r="109" spans="11:11">
      <c r="K109" s="12"/>
    </row>
    <row r="110" spans="11:11">
      <c r="K110" s="12"/>
    </row>
    <row r="111" spans="11:11">
      <c r="K111" s="12"/>
    </row>
    <row r="112" spans="11:11">
      <c r="K112" s="12"/>
    </row>
    <row r="113" spans="11:11">
      <c r="K113" s="12"/>
    </row>
    <row r="114" spans="11:11">
      <c r="K114" s="12"/>
    </row>
    <row r="115" spans="11:11">
      <c r="K115" s="12"/>
    </row>
    <row r="116" spans="11:11">
      <c r="K116" s="12"/>
    </row>
    <row r="117" spans="11:11">
      <c r="K117" s="12"/>
    </row>
    <row r="118" spans="11:11">
      <c r="K118" s="12"/>
    </row>
    <row r="119" spans="11:11">
      <c r="K119" s="12"/>
    </row>
    <row r="120" spans="11:11">
      <c r="K120" s="12"/>
    </row>
    <row r="121" spans="11:11">
      <c r="K121" s="12"/>
    </row>
    <row r="122" spans="11:11">
      <c r="K122" s="12"/>
    </row>
    <row r="123" spans="11:11">
      <c r="K123" s="12"/>
    </row>
    <row r="124" spans="11:11">
      <c r="K124" s="12"/>
    </row>
    <row r="125" spans="11:11">
      <c r="K125" s="12"/>
    </row>
    <row r="126" spans="11:11">
      <c r="K126" s="12"/>
    </row>
    <row r="127" spans="11:11">
      <c r="K127" s="12"/>
    </row>
    <row r="128" spans="11:11">
      <c r="K128" s="12"/>
    </row>
    <row r="129" spans="11:11">
      <c r="K129" s="12"/>
    </row>
    <row r="130" spans="11:11">
      <c r="K130" s="12"/>
    </row>
    <row r="131" spans="11:11">
      <c r="K131" s="12"/>
    </row>
    <row r="132" spans="11:11">
      <c r="K132" s="12"/>
    </row>
    <row r="133" spans="11:11">
      <c r="K133" s="12"/>
    </row>
    <row r="134" spans="11:11">
      <c r="K134" s="12"/>
    </row>
    <row r="135" spans="11:11">
      <c r="K135" s="12"/>
    </row>
    <row r="136" spans="11:11">
      <c r="K136" s="12"/>
    </row>
    <row r="137" spans="11:11">
      <c r="K137" s="12"/>
    </row>
    <row r="138" spans="11:11">
      <c r="K138" s="12"/>
    </row>
    <row r="139" spans="11:11">
      <c r="K139" s="12"/>
    </row>
    <row r="140" spans="11:11">
      <c r="K140" s="12"/>
    </row>
    <row r="141" spans="11:11">
      <c r="K141" s="12"/>
    </row>
    <row r="142" spans="11:11">
      <c r="K142" s="12"/>
    </row>
    <row r="143" spans="11:11">
      <c r="K143" s="12"/>
    </row>
    <row r="144" spans="11:11">
      <c r="K144" s="12"/>
    </row>
    <row r="145" spans="11:11">
      <c r="K145" s="12"/>
    </row>
    <row r="146" spans="11:11">
      <c r="K146" s="12"/>
    </row>
    <row r="147" spans="11:11">
      <c r="K147" s="12"/>
    </row>
    <row r="148" spans="11:11">
      <c r="K148" s="12"/>
    </row>
    <row r="149" spans="11:11">
      <c r="K149" s="12"/>
    </row>
    <row r="150" spans="11:11">
      <c r="K150" s="12"/>
    </row>
    <row r="151" spans="11:11">
      <c r="K151" s="12"/>
    </row>
    <row r="152" spans="11:11">
      <c r="K152" s="12"/>
    </row>
    <row r="153" spans="11:11">
      <c r="K153" s="12"/>
    </row>
    <row r="154" spans="11:11">
      <c r="K154" s="12"/>
    </row>
    <row r="155" spans="11:11">
      <c r="K155" s="12"/>
    </row>
    <row r="156" spans="11:11">
      <c r="K156" s="12"/>
    </row>
    <row r="157" spans="11:11">
      <c r="K157" s="12"/>
    </row>
    <row r="158" spans="11:11">
      <c r="K158" s="12"/>
    </row>
    <row r="159" spans="11:11">
      <c r="K159" s="12"/>
    </row>
    <row r="160" spans="11:11">
      <c r="K160" s="12"/>
    </row>
    <row r="161" spans="11:11">
      <c r="K161" s="12"/>
    </row>
    <row r="162" spans="11:11">
      <c r="K162" s="12"/>
    </row>
    <row r="163" spans="11:11">
      <c r="K163" s="12"/>
    </row>
    <row r="164" spans="11:11">
      <c r="K164" s="12"/>
    </row>
    <row r="165" spans="11:11">
      <c r="K165" s="12"/>
    </row>
    <row r="166" spans="11:11">
      <c r="K166" s="12"/>
    </row>
    <row r="167" spans="11:11">
      <c r="K167" s="12"/>
    </row>
    <row r="168" spans="11:11">
      <c r="K168" s="12"/>
    </row>
    <row r="169" spans="11:11">
      <c r="K169" s="12"/>
    </row>
    <row r="170" spans="11:11">
      <c r="K170" s="12"/>
    </row>
    <row r="171" spans="11:11">
      <c r="K171" s="12"/>
    </row>
    <row r="172" spans="11:11">
      <c r="K172" s="12"/>
    </row>
    <row r="173" spans="11:11">
      <c r="K173" s="12"/>
    </row>
    <row r="174" spans="11:11">
      <c r="K174" s="12"/>
    </row>
    <row r="175" spans="11:11">
      <c r="K175" s="12"/>
    </row>
    <row r="176" spans="11:11">
      <c r="K176" s="12"/>
    </row>
    <row r="177" spans="11:11">
      <c r="K177" s="12"/>
    </row>
    <row r="178" spans="11:11">
      <c r="K178" s="12"/>
    </row>
    <row r="179" spans="11:11">
      <c r="K179" s="12"/>
    </row>
    <row r="180" spans="11:11">
      <c r="K180" s="12"/>
    </row>
    <row r="181" spans="11:11">
      <c r="K181" s="12"/>
    </row>
    <row r="182" spans="11:11">
      <c r="K182" s="12"/>
    </row>
    <row r="183" spans="11:11">
      <c r="K183" s="12"/>
    </row>
    <row r="184" spans="11:11">
      <c r="K184" s="12"/>
    </row>
    <row r="185" spans="11:11">
      <c r="K185" s="12"/>
    </row>
    <row r="186" spans="11:11">
      <c r="K186" s="12"/>
    </row>
    <row r="187" spans="11:11">
      <c r="K187" s="12"/>
    </row>
    <row r="188" spans="11:11">
      <c r="K188" s="12"/>
    </row>
    <row r="189" spans="11:11">
      <c r="K189" s="12"/>
    </row>
    <row r="190" spans="11:11">
      <c r="K190" s="12"/>
    </row>
    <row r="191" spans="11:11">
      <c r="K191" s="12"/>
    </row>
    <row r="192" spans="11:11">
      <c r="K192" s="12"/>
    </row>
    <row r="193" spans="11:11">
      <c r="K193" s="12"/>
    </row>
    <row r="194" spans="11:11">
      <c r="K194" s="12"/>
    </row>
    <row r="195" spans="11:11">
      <c r="K195" s="12"/>
    </row>
    <row r="196" spans="11:11">
      <c r="K196" s="12"/>
    </row>
    <row r="197" spans="11:11">
      <c r="K197" s="12"/>
    </row>
    <row r="198" spans="11:11">
      <c r="K198" s="12"/>
    </row>
    <row r="199" spans="11:11">
      <c r="K199" s="12"/>
    </row>
    <row r="200" spans="11:11">
      <c r="K200" s="12"/>
    </row>
    <row r="201" spans="11:11">
      <c r="K201" s="12"/>
    </row>
    <row r="202" spans="11:11">
      <c r="K202" s="12"/>
    </row>
    <row r="203" spans="11:11">
      <c r="K203" s="12"/>
    </row>
    <row r="204" spans="11:11">
      <c r="K204" s="12"/>
    </row>
    <row r="205" spans="11:11">
      <c r="K205" s="12"/>
    </row>
    <row r="206" spans="11:11">
      <c r="K206" s="12"/>
    </row>
    <row r="207" spans="11:11">
      <c r="K207" s="12"/>
    </row>
    <row r="208" spans="11:11">
      <c r="K208" s="12"/>
    </row>
    <row r="209" spans="11:11">
      <c r="K209" s="12"/>
    </row>
    <row r="210" spans="11:11">
      <c r="K210" s="12"/>
    </row>
    <row r="211" spans="11:11">
      <c r="K211" s="12"/>
    </row>
    <row r="212" spans="11:11">
      <c r="K212" s="12"/>
    </row>
    <row r="213" spans="11:11">
      <c r="K213" s="12"/>
    </row>
    <row r="214" spans="11:11">
      <c r="K214" s="12"/>
    </row>
    <row r="215" spans="11:11">
      <c r="K215" s="12"/>
    </row>
    <row r="216" spans="11:11">
      <c r="K216" s="12"/>
    </row>
    <row r="217" spans="11:11">
      <c r="K217" s="12"/>
    </row>
    <row r="218" spans="11:11">
      <c r="K218" s="12"/>
    </row>
    <row r="219" spans="11:11">
      <c r="K219" s="12"/>
    </row>
    <row r="220" spans="11:11">
      <c r="K220" s="12"/>
    </row>
    <row r="221" spans="11:11">
      <c r="K221" s="12"/>
    </row>
    <row r="222" spans="11:11">
      <c r="K222" s="12"/>
    </row>
    <row r="223" spans="11:11">
      <c r="K223" s="12"/>
    </row>
    <row r="224" spans="11:11">
      <c r="K224" s="12"/>
    </row>
    <row r="225" spans="11:11">
      <c r="K225" s="12"/>
    </row>
    <row r="226" spans="11:11">
      <c r="K226" s="12"/>
    </row>
    <row r="227" spans="11:11">
      <c r="K227" s="12"/>
    </row>
    <row r="228" spans="11:11">
      <c r="K228" s="12"/>
    </row>
    <row r="229" spans="11:11">
      <c r="K229" s="12"/>
    </row>
    <row r="230" spans="11:11">
      <c r="K230" s="12"/>
    </row>
    <row r="231" spans="11:11">
      <c r="K231" s="12"/>
    </row>
    <row r="232" spans="11:11">
      <c r="K232" s="12"/>
    </row>
    <row r="233" spans="11:11">
      <c r="K233" s="12"/>
    </row>
    <row r="234" spans="11:11">
      <c r="K234" s="12"/>
    </row>
    <row r="235" spans="11:11">
      <c r="K235" s="12"/>
    </row>
    <row r="236" spans="11:11">
      <c r="K236" s="12"/>
    </row>
    <row r="237" spans="11:11">
      <c r="K237" s="12"/>
    </row>
    <row r="238" spans="11:11">
      <c r="K238" s="12"/>
    </row>
    <row r="239" spans="11:11">
      <c r="K239" s="12"/>
    </row>
    <row r="240" spans="11:11">
      <c r="K240" s="12"/>
    </row>
    <row r="241" spans="11:11">
      <c r="K241" s="12"/>
    </row>
    <row r="242" spans="11:11">
      <c r="K242" s="12"/>
    </row>
    <row r="243" spans="11:11">
      <c r="K243" s="12"/>
    </row>
    <row r="244" spans="11:11">
      <c r="K244" s="12"/>
    </row>
    <row r="245" spans="11:11">
      <c r="K245" s="12"/>
    </row>
    <row r="246" spans="11:11">
      <c r="K246" s="12"/>
    </row>
    <row r="247" spans="11:11">
      <c r="K247" s="12"/>
    </row>
    <row r="248" spans="11:11">
      <c r="K248" s="12"/>
    </row>
    <row r="249" spans="11:11">
      <c r="K249" s="12"/>
    </row>
    <row r="250" spans="11:11">
      <c r="K250" s="12"/>
    </row>
    <row r="251" spans="11:11">
      <c r="K251" s="12"/>
    </row>
    <row r="252" spans="11:11">
      <c r="K252" s="12"/>
    </row>
    <row r="253" spans="11:11">
      <c r="K253" s="12"/>
    </row>
    <row r="254" spans="11:11">
      <c r="K254" s="12"/>
    </row>
    <row r="255" spans="11:11">
      <c r="K255" s="12"/>
    </row>
    <row r="256" spans="11:11">
      <c r="K256" s="12"/>
    </row>
    <row r="257" spans="11:11">
      <c r="K257" s="12"/>
    </row>
    <row r="258" spans="11:11">
      <c r="K258" s="12"/>
    </row>
    <row r="259" spans="11:11">
      <c r="K259" s="12"/>
    </row>
    <row r="260" spans="11:11">
      <c r="K260" s="12"/>
    </row>
    <row r="261" spans="11:11">
      <c r="K261" s="12"/>
    </row>
    <row r="262" spans="11:11">
      <c r="K262" s="12"/>
    </row>
    <row r="263" spans="11:11">
      <c r="K263" s="12"/>
    </row>
    <row r="264" spans="11:11">
      <c r="K264" s="12"/>
    </row>
    <row r="265" spans="11:11">
      <c r="K265" s="12"/>
    </row>
    <row r="266" spans="11:11">
      <c r="K266" s="12"/>
    </row>
    <row r="267" spans="11:11">
      <c r="K267" s="12"/>
    </row>
    <row r="268" spans="11:11">
      <c r="K268" s="12"/>
    </row>
    <row r="269" spans="11:11">
      <c r="K269" s="12"/>
    </row>
    <row r="270" spans="11:11">
      <c r="K270" s="12"/>
    </row>
    <row r="271" spans="11:11">
      <c r="K271" s="12"/>
    </row>
    <row r="272" spans="11:11">
      <c r="K272" s="12"/>
    </row>
    <row r="273" spans="11:11">
      <c r="K273" s="12"/>
    </row>
    <row r="274" spans="11:11">
      <c r="K274" s="12"/>
    </row>
    <row r="275" spans="11:11">
      <c r="K275" s="12"/>
    </row>
    <row r="276" spans="11:11">
      <c r="K276" s="12"/>
    </row>
    <row r="277" spans="11:11">
      <c r="K277" s="12"/>
    </row>
    <row r="278" spans="11:11">
      <c r="K278" s="12"/>
    </row>
    <row r="279" spans="11:11">
      <c r="K279" s="12"/>
    </row>
    <row r="280" spans="11:11">
      <c r="K280" s="12"/>
    </row>
    <row r="281" spans="11:11">
      <c r="K281" s="12"/>
    </row>
    <row r="282" spans="11:11">
      <c r="K282" s="12"/>
    </row>
    <row r="283" spans="11:11">
      <c r="K283" s="12"/>
    </row>
    <row r="284" spans="11:11">
      <c r="K284" s="12"/>
    </row>
    <row r="285" spans="11:11">
      <c r="K285" s="12"/>
    </row>
    <row r="286" spans="11:11">
      <c r="K286" s="12"/>
    </row>
    <row r="287" spans="11:11">
      <c r="K287" s="12"/>
    </row>
    <row r="288" spans="11:11">
      <c r="K288" s="12"/>
    </row>
    <row r="289" spans="11:11">
      <c r="K289" s="12"/>
    </row>
    <row r="290" spans="11:11">
      <c r="K290" s="12"/>
    </row>
    <row r="291" spans="11:11">
      <c r="K291" s="12"/>
    </row>
    <row r="292" spans="11:11">
      <c r="K292" s="12"/>
    </row>
    <row r="293" spans="11:11">
      <c r="K293" s="12"/>
    </row>
    <row r="294" spans="11:11">
      <c r="K294" s="12"/>
    </row>
    <row r="295" spans="11:11">
      <c r="K295" s="12"/>
    </row>
    <row r="296" spans="11:11">
      <c r="K296" s="12"/>
    </row>
    <row r="297" spans="11:11">
      <c r="K297" s="12"/>
    </row>
    <row r="298" spans="11:11">
      <c r="K298" s="12"/>
    </row>
    <row r="299" spans="11:11">
      <c r="K299" s="12"/>
    </row>
    <row r="300" spans="11:11">
      <c r="K300" s="12"/>
    </row>
    <row r="301" spans="11:11">
      <c r="K301" s="12"/>
    </row>
    <row r="302" spans="11:11">
      <c r="K302" s="12"/>
    </row>
    <row r="303" spans="11:11">
      <c r="K303" s="12"/>
    </row>
    <row r="304" spans="11:11">
      <c r="K304" s="12"/>
    </row>
    <row r="305" spans="11:11">
      <c r="K305" s="12"/>
    </row>
    <row r="306" spans="11:11">
      <c r="K306" s="12"/>
    </row>
    <row r="307" spans="11:11">
      <c r="K307" s="12"/>
    </row>
    <row r="308" spans="11:11">
      <c r="K308" s="12"/>
    </row>
    <row r="309" spans="11:11">
      <c r="K309" s="12"/>
    </row>
    <row r="310" spans="11:11">
      <c r="K310" s="12"/>
    </row>
    <row r="311" spans="11:11">
      <c r="K311" s="12"/>
    </row>
    <row r="312" spans="11:11">
      <c r="K312" s="12"/>
    </row>
    <row r="313" spans="11:11">
      <c r="K313" s="12"/>
    </row>
    <row r="314" spans="11:11">
      <c r="K314" s="12"/>
    </row>
    <row r="315" spans="11:11">
      <c r="K315" s="12"/>
    </row>
    <row r="316" spans="11:11">
      <c r="K316" s="12"/>
    </row>
    <row r="317" spans="11:11">
      <c r="K317" s="12"/>
    </row>
    <row r="318" spans="11:11">
      <c r="K318" s="12"/>
    </row>
    <row r="319" spans="11:11">
      <c r="K319" s="12"/>
    </row>
    <row r="320" spans="11:11">
      <c r="K320" s="12"/>
    </row>
    <row r="321" spans="11:11">
      <c r="K321" s="12"/>
    </row>
    <row r="322" spans="11:11">
      <c r="K322" s="12"/>
    </row>
    <row r="323" spans="11:11">
      <c r="K323" s="12"/>
    </row>
    <row r="324" spans="11:11">
      <c r="K324" s="12"/>
    </row>
    <row r="325" spans="11:11">
      <c r="K325" s="12"/>
    </row>
    <row r="326" spans="11:11">
      <c r="K326" s="12"/>
    </row>
    <row r="327" spans="11:11">
      <c r="K327" s="12"/>
    </row>
    <row r="328" spans="11:11">
      <c r="K328" s="12"/>
    </row>
    <row r="329" spans="11:11">
      <c r="K329" s="12"/>
    </row>
    <row r="330" spans="11:11">
      <c r="K330" s="12"/>
    </row>
    <row r="331" spans="11:11">
      <c r="K331" s="12"/>
    </row>
    <row r="332" spans="11:11">
      <c r="K332" s="12"/>
    </row>
    <row r="333" spans="11:11">
      <c r="K333" s="12"/>
    </row>
    <row r="334" spans="11:11">
      <c r="K334" s="12"/>
    </row>
    <row r="335" spans="11:11">
      <c r="K335" s="12"/>
    </row>
    <row r="336" spans="11:11">
      <c r="K336" s="12"/>
    </row>
    <row r="337" spans="11:11">
      <c r="K337" s="12"/>
    </row>
    <row r="338" spans="11:11">
      <c r="K338" s="12"/>
    </row>
    <row r="339" spans="11:11">
      <c r="K339" s="12"/>
    </row>
    <row r="340" spans="11:11">
      <c r="K340" s="12"/>
    </row>
    <row r="341" spans="11:11">
      <c r="K341" s="12"/>
    </row>
    <row r="342" spans="11:11">
      <c r="K342" s="12"/>
    </row>
    <row r="343" spans="11:11">
      <c r="K343" s="12"/>
    </row>
    <row r="344" spans="11:11">
      <c r="K344" s="12"/>
    </row>
    <row r="345" spans="11:11">
      <c r="K345" s="12"/>
    </row>
    <row r="346" spans="11:11">
      <c r="K346" s="12"/>
    </row>
    <row r="347" spans="11:11">
      <c r="K347" s="12"/>
    </row>
    <row r="348" spans="11:11">
      <c r="K348" s="12"/>
    </row>
    <row r="349" spans="11:11">
      <c r="K349" s="12"/>
    </row>
    <row r="350" spans="11:11">
      <c r="K350" s="12"/>
    </row>
    <row r="351" spans="11:11">
      <c r="K351" s="12"/>
    </row>
    <row r="352" spans="11:11">
      <c r="K352" s="12"/>
    </row>
    <row r="353" spans="11:11">
      <c r="K353" s="12"/>
    </row>
    <row r="354" spans="11:11">
      <c r="K354" s="12"/>
    </row>
    <row r="355" spans="11:11">
      <c r="K355" s="12"/>
    </row>
    <row r="356" spans="11:11">
      <c r="K356" s="12"/>
    </row>
    <row r="357" spans="11:11">
      <c r="K357" s="12"/>
    </row>
    <row r="358" spans="11:11">
      <c r="K358" s="12"/>
    </row>
    <row r="359" spans="11:11">
      <c r="K359" s="12"/>
    </row>
    <row r="360" spans="11:11">
      <c r="K360" s="12"/>
    </row>
    <row r="361" spans="11:11">
      <c r="K361" s="12"/>
    </row>
    <row r="362" spans="11:11">
      <c r="K362" s="12"/>
    </row>
    <row r="363" spans="11:11">
      <c r="K363" s="12"/>
    </row>
    <row r="364" spans="11:11">
      <c r="K364" s="12"/>
    </row>
    <row r="365" spans="11:11">
      <c r="K365" s="12"/>
    </row>
    <row r="366" spans="11:11">
      <c r="K366" s="12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7438-E951-49E1-B96E-D4235FE16605}">
  <dimension ref="A1:X22"/>
  <sheetViews>
    <sheetView zoomScale="130" zoomScaleNormal="130" workbookViewId="0">
      <selection activeCell="Q21" sqref="Q21:S21"/>
    </sheetView>
  </sheetViews>
  <sheetFormatPr baseColWidth="10" defaultRowHeight="15"/>
  <cols>
    <col min="2" max="2" width="11.42578125" bestFit="1" customWidth="1"/>
    <col min="5" max="7" width="11.42578125" style="68"/>
    <col min="8" max="8" width="11.42578125" style="68" customWidth="1"/>
  </cols>
  <sheetData>
    <row r="1" spans="1:24">
      <c r="A1" s="11" t="s">
        <v>24</v>
      </c>
      <c r="B1" s="11" t="s">
        <v>40</v>
      </c>
      <c r="C1" s="11" t="s">
        <v>41</v>
      </c>
      <c r="D1" s="63" t="s">
        <v>42</v>
      </c>
      <c r="E1" s="65"/>
      <c r="F1" s="72" t="s">
        <v>139</v>
      </c>
      <c r="G1" s="73"/>
      <c r="H1" s="73"/>
      <c r="I1" s="73"/>
      <c r="K1" s="74" t="s">
        <v>138</v>
      </c>
      <c r="L1" s="74"/>
      <c r="M1" s="74"/>
      <c r="N1" s="74"/>
      <c r="P1" s="72" t="s">
        <v>133</v>
      </c>
      <c r="Q1" s="73"/>
      <c r="R1" s="73"/>
      <c r="S1" s="73"/>
      <c r="U1" s="74" t="s">
        <v>134</v>
      </c>
      <c r="V1" s="74"/>
      <c r="W1" s="74"/>
      <c r="X1" s="74"/>
    </row>
    <row r="2" spans="1:24">
      <c r="A2" s="54" t="str">
        <f>+Sets!A2</f>
        <v>J1</v>
      </c>
      <c r="B2" s="54">
        <v>98</v>
      </c>
      <c r="C2" s="54">
        <v>10</v>
      </c>
      <c r="D2" s="54">
        <v>10</v>
      </c>
      <c r="E2" s="65"/>
      <c r="F2" s="63"/>
      <c r="G2" s="20" t="s">
        <v>104</v>
      </c>
      <c r="H2" s="20" t="s">
        <v>105</v>
      </c>
      <c r="I2" s="20" t="s">
        <v>106</v>
      </c>
      <c r="K2" s="63"/>
      <c r="L2" s="20" t="s">
        <v>104</v>
      </c>
      <c r="M2" s="20" t="s">
        <v>105</v>
      </c>
      <c r="N2" s="20" t="s">
        <v>106</v>
      </c>
      <c r="P2" s="31"/>
      <c r="Q2" s="20" t="s">
        <v>87</v>
      </c>
      <c r="R2" s="20" t="s">
        <v>88</v>
      </c>
      <c r="S2" s="20" t="s">
        <v>89</v>
      </c>
      <c r="U2" s="31"/>
      <c r="V2" s="20" t="s">
        <v>87</v>
      </c>
      <c r="W2" s="20" t="s">
        <v>88</v>
      </c>
      <c r="X2" s="20" t="s">
        <v>89</v>
      </c>
    </row>
    <row r="3" spans="1:24">
      <c r="A3" s="54" t="str">
        <f>+Sets!A3</f>
        <v>J2</v>
      </c>
      <c r="B3" s="54">
        <v>32</v>
      </c>
      <c r="C3" s="54">
        <v>10</v>
      </c>
      <c r="D3" s="54">
        <v>10</v>
      </c>
      <c r="E3" s="65"/>
      <c r="F3" s="54" t="s">
        <v>48</v>
      </c>
      <c r="G3" s="54">
        <v>0</v>
      </c>
      <c r="H3" s="54">
        <v>0</v>
      </c>
      <c r="I3" s="54">
        <v>1</v>
      </c>
      <c r="K3" s="54" t="s">
        <v>48</v>
      </c>
      <c r="L3" s="54" t="s">
        <v>137</v>
      </c>
      <c r="M3" s="54" t="s">
        <v>136</v>
      </c>
      <c r="N3" s="54" t="s">
        <v>135</v>
      </c>
      <c r="P3" s="20" t="s">
        <v>5</v>
      </c>
      <c r="Q3" s="40">
        <v>100</v>
      </c>
      <c r="R3" s="40">
        <v>100</v>
      </c>
      <c r="S3" s="40">
        <v>100</v>
      </c>
      <c r="U3" s="20" t="s">
        <v>5</v>
      </c>
      <c r="V3" s="2">
        <v>0</v>
      </c>
      <c r="W3" s="2">
        <v>0</v>
      </c>
      <c r="X3" s="2">
        <v>0</v>
      </c>
    </row>
    <row r="4" spans="1:24">
      <c r="A4" s="54" t="str">
        <f>+Sets!A4</f>
        <v>J3</v>
      </c>
      <c r="B4" s="54">
        <v>44</v>
      </c>
      <c r="C4" s="54">
        <v>10</v>
      </c>
      <c r="D4" s="54">
        <v>10</v>
      </c>
      <c r="E4" s="65"/>
      <c r="F4" s="54" t="s">
        <v>49</v>
      </c>
      <c r="G4" s="54">
        <v>0</v>
      </c>
      <c r="H4" s="54">
        <v>0</v>
      </c>
      <c r="I4" s="54">
        <v>1</v>
      </c>
      <c r="K4" s="54" t="s">
        <v>49</v>
      </c>
      <c r="L4" s="54" t="s">
        <v>137</v>
      </c>
      <c r="M4" s="54" t="s">
        <v>136</v>
      </c>
      <c r="N4" s="54" t="s">
        <v>135</v>
      </c>
      <c r="P4" s="20" t="s">
        <v>6</v>
      </c>
      <c r="Q4" s="2">
        <v>500</v>
      </c>
      <c r="R4" s="2">
        <v>500</v>
      </c>
      <c r="S4" s="2">
        <v>500</v>
      </c>
      <c r="U4" s="20" t="s">
        <v>6</v>
      </c>
      <c r="V4" s="2">
        <v>0</v>
      </c>
      <c r="W4" s="2">
        <v>0</v>
      </c>
      <c r="X4" s="2">
        <v>0</v>
      </c>
    </row>
    <row r="5" spans="1:24">
      <c r="A5" s="54" t="str">
        <f>+Sets!A5</f>
        <v>J4</v>
      </c>
      <c r="B5" s="54">
        <v>80</v>
      </c>
      <c r="C5" s="54">
        <v>10</v>
      </c>
      <c r="D5" s="54">
        <v>10</v>
      </c>
      <c r="E5" s="65"/>
      <c r="F5" s="54" t="s">
        <v>50</v>
      </c>
      <c r="G5" s="54">
        <v>0</v>
      </c>
      <c r="H5" s="54">
        <v>0</v>
      </c>
      <c r="I5" s="54">
        <v>1</v>
      </c>
      <c r="K5" s="54" t="s">
        <v>50</v>
      </c>
      <c r="L5" s="54" t="s">
        <v>137</v>
      </c>
      <c r="M5" s="54" t="s">
        <v>136</v>
      </c>
      <c r="N5" s="54" t="s">
        <v>135</v>
      </c>
      <c r="P5" s="20" t="s">
        <v>7</v>
      </c>
      <c r="Q5" s="2">
        <v>500</v>
      </c>
      <c r="R5" s="2">
        <v>500</v>
      </c>
      <c r="S5" s="2">
        <v>500</v>
      </c>
      <c r="U5" s="20" t="s">
        <v>7</v>
      </c>
      <c r="V5" s="2">
        <v>0</v>
      </c>
      <c r="W5" s="2">
        <v>0</v>
      </c>
      <c r="X5" s="2">
        <v>0</v>
      </c>
    </row>
    <row r="6" spans="1:24">
      <c r="A6" s="54" t="str">
        <f>+Sets!A6</f>
        <v>J5</v>
      </c>
      <c r="B6" s="54">
        <v>30</v>
      </c>
      <c r="C6" s="54">
        <v>10</v>
      </c>
      <c r="D6" s="54">
        <v>10</v>
      </c>
      <c r="E6" s="65"/>
      <c r="F6" s="54" t="s">
        <v>51</v>
      </c>
      <c r="G6" s="54">
        <v>0</v>
      </c>
      <c r="H6" s="54">
        <v>0</v>
      </c>
      <c r="I6" s="54">
        <v>1</v>
      </c>
      <c r="K6" s="54" t="s">
        <v>51</v>
      </c>
      <c r="L6" s="54" t="s">
        <v>137</v>
      </c>
      <c r="M6" s="54" t="s">
        <v>136</v>
      </c>
      <c r="N6" s="54" t="s">
        <v>135</v>
      </c>
      <c r="P6" s="20" t="s">
        <v>8</v>
      </c>
      <c r="Q6" s="40">
        <v>60</v>
      </c>
      <c r="R6" s="40">
        <v>60</v>
      </c>
      <c r="S6" s="40">
        <v>60</v>
      </c>
      <c r="U6" s="20" t="s">
        <v>8</v>
      </c>
      <c r="V6" s="40">
        <v>60</v>
      </c>
      <c r="W6" s="40">
        <v>60</v>
      </c>
      <c r="X6" s="40">
        <v>60</v>
      </c>
    </row>
    <row r="7" spans="1:24">
      <c r="A7" s="54" t="str">
        <f>+Sets!A7</f>
        <v>J6</v>
      </c>
      <c r="B7" s="54">
        <v>19</v>
      </c>
      <c r="C7" s="54">
        <v>10</v>
      </c>
      <c r="D7" s="54">
        <v>10</v>
      </c>
      <c r="E7" s="65"/>
      <c r="F7" s="54" t="s">
        <v>52</v>
      </c>
      <c r="G7" s="54">
        <v>0</v>
      </c>
      <c r="H7" s="54">
        <v>0</v>
      </c>
      <c r="I7" s="54">
        <v>1</v>
      </c>
      <c r="K7" s="54" t="s">
        <v>52</v>
      </c>
      <c r="L7" s="54" t="s">
        <v>137</v>
      </c>
      <c r="M7" s="54" t="s">
        <v>136</v>
      </c>
      <c r="N7" s="54" t="s">
        <v>135</v>
      </c>
      <c r="P7" s="20" t="s">
        <v>9</v>
      </c>
      <c r="Q7" s="40">
        <v>124</v>
      </c>
      <c r="R7" s="40">
        <v>124</v>
      </c>
      <c r="S7" s="40">
        <v>124</v>
      </c>
      <c r="U7" s="20" t="s">
        <v>9</v>
      </c>
      <c r="V7" s="2">
        <v>0</v>
      </c>
      <c r="W7" s="2">
        <v>0</v>
      </c>
      <c r="X7" s="2">
        <v>0</v>
      </c>
    </row>
    <row r="8" spans="1:24">
      <c r="A8" s="54" t="str">
        <f>+Sets!A8</f>
        <v>J7</v>
      </c>
      <c r="B8" s="54">
        <v>60</v>
      </c>
      <c r="C8" s="54">
        <v>10</v>
      </c>
      <c r="D8" s="54">
        <v>10</v>
      </c>
      <c r="E8" s="65"/>
      <c r="F8" s="54" t="s">
        <v>53</v>
      </c>
      <c r="G8" s="54">
        <v>0</v>
      </c>
      <c r="H8" s="54">
        <v>0</v>
      </c>
      <c r="I8" s="54">
        <v>1</v>
      </c>
      <c r="K8" s="54" t="s">
        <v>53</v>
      </c>
      <c r="L8" s="54" t="s">
        <v>137</v>
      </c>
      <c r="M8" s="54" t="s">
        <v>136</v>
      </c>
      <c r="N8" s="54" t="s">
        <v>135</v>
      </c>
      <c r="P8" s="20" t="s">
        <v>10</v>
      </c>
      <c r="Q8" s="2">
        <v>500</v>
      </c>
      <c r="R8" s="2">
        <v>500</v>
      </c>
      <c r="S8" s="2">
        <v>500</v>
      </c>
      <c r="U8" s="20" t="s">
        <v>10</v>
      </c>
      <c r="V8" s="2">
        <v>0</v>
      </c>
      <c r="W8" s="2">
        <v>0</v>
      </c>
      <c r="X8" s="2">
        <v>0</v>
      </c>
    </row>
    <row r="9" spans="1:24">
      <c r="A9" s="54" t="s">
        <v>120</v>
      </c>
      <c r="B9" s="54">
        <v>49</v>
      </c>
      <c r="C9" s="54">
        <v>10</v>
      </c>
      <c r="D9" s="54">
        <v>10</v>
      </c>
      <c r="E9" s="65"/>
      <c r="F9" s="54" t="s">
        <v>54</v>
      </c>
      <c r="G9" s="54">
        <v>0</v>
      </c>
      <c r="H9" s="54">
        <v>0</v>
      </c>
      <c r="I9" s="54">
        <v>1</v>
      </c>
      <c r="K9" s="54" t="s">
        <v>54</v>
      </c>
      <c r="L9" s="54" t="s">
        <v>137</v>
      </c>
      <c r="M9" s="54" t="s">
        <v>136</v>
      </c>
      <c r="N9" s="54" t="s">
        <v>135</v>
      </c>
      <c r="P9" s="20" t="s">
        <v>11</v>
      </c>
      <c r="Q9" s="2">
        <v>500</v>
      </c>
      <c r="R9" s="2">
        <v>500</v>
      </c>
      <c r="S9" s="2">
        <v>500</v>
      </c>
      <c r="U9" s="20" t="s">
        <v>11</v>
      </c>
      <c r="V9" s="2">
        <v>0</v>
      </c>
      <c r="W9" s="2">
        <v>0</v>
      </c>
      <c r="X9" s="2">
        <v>0</v>
      </c>
    </row>
    <row r="10" spans="1:24">
      <c r="A10" s="54" t="s">
        <v>121</v>
      </c>
      <c r="B10" s="54">
        <v>51</v>
      </c>
      <c r="C10" s="54">
        <v>10</v>
      </c>
      <c r="D10" s="54">
        <v>10</v>
      </c>
      <c r="E10" s="65"/>
      <c r="F10" s="54" t="s">
        <v>120</v>
      </c>
      <c r="G10" s="54">
        <v>0</v>
      </c>
      <c r="H10" s="54">
        <v>0</v>
      </c>
      <c r="I10" s="54">
        <v>1</v>
      </c>
      <c r="K10" s="54" t="s">
        <v>120</v>
      </c>
      <c r="L10" s="54" t="s">
        <v>137</v>
      </c>
      <c r="M10" s="54" t="s">
        <v>136</v>
      </c>
      <c r="N10" s="54" t="s">
        <v>135</v>
      </c>
      <c r="P10" s="20" t="s">
        <v>12</v>
      </c>
      <c r="Q10" s="2">
        <v>500</v>
      </c>
      <c r="R10" s="2">
        <v>500</v>
      </c>
      <c r="S10" s="2">
        <v>500</v>
      </c>
      <c r="U10" s="20" t="s">
        <v>12</v>
      </c>
      <c r="V10" s="2">
        <v>0</v>
      </c>
      <c r="W10" s="2">
        <v>0</v>
      </c>
      <c r="X10" s="2">
        <v>0</v>
      </c>
    </row>
    <row r="11" spans="1:24">
      <c r="A11" s="54" t="s">
        <v>122</v>
      </c>
      <c r="B11" s="54">
        <v>21</v>
      </c>
      <c r="C11" s="54">
        <v>10</v>
      </c>
      <c r="D11" s="54">
        <v>10</v>
      </c>
      <c r="E11" s="65"/>
      <c r="F11" s="54" t="s">
        <v>121</v>
      </c>
      <c r="G11" s="54">
        <v>0</v>
      </c>
      <c r="H11" s="54">
        <v>0</v>
      </c>
      <c r="I11" s="54">
        <v>1</v>
      </c>
      <c r="K11" s="54" t="s">
        <v>121</v>
      </c>
      <c r="L11" s="54" t="s">
        <v>137</v>
      </c>
      <c r="M11" s="54" t="s">
        <v>136</v>
      </c>
      <c r="N11" s="54" t="s">
        <v>135</v>
      </c>
      <c r="P11" s="20" t="s">
        <v>13</v>
      </c>
      <c r="Q11" s="2">
        <v>500</v>
      </c>
      <c r="R11" s="2">
        <v>500</v>
      </c>
      <c r="S11" s="2">
        <v>500</v>
      </c>
      <c r="U11" s="20" t="s">
        <v>13</v>
      </c>
      <c r="V11" s="2">
        <v>0</v>
      </c>
      <c r="W11" s="2">
        <v>0</v>
      </c>
      <c r="X11" s="2">
        <v>0</v>
      </c>
    </row>
    <row r="12" spans="1:24">
      <c r="A12" s="2"/>
      <c r="B12" s="2"/>
      <c r="C12" s="2"/>
      <c r="D12" s="2"/>
      <c r="F12" s="54" t="s">
        <v>122</v>
      </c>
      <c r="G12" s="54">
        <v>0</v>
      </c>
      <c r="H12" s="54">
        <v>0</v>
      </c>
      <c r="I12" s="54">
        <v>1</v>
      </c>
      <c r="K12" s="54" t="s">
        <v>122</v>
      </c>
      <c r="L12" s="54" t="s">
        <v>137</v>
      </c>
      <c r="M12" s="54" t="s">
        <v>136</v>
      </c>
      <c r="N12" s="54" t="s">
        <v>135</v>
      </c>
      <c r="P12" s="20" t="s">
        <v>14</v>
      </c>
      <c r="Q12" s="2">
        <v>500</v>
      </c>
      <c r="R12" s="2">
        <v>500</v>
      </c>
      <c r="S12" s="2">
        <v>500</v>
      </c>
      <c r="U12" s="20" t="s">
        <v>14</v>
      </c>
      <c r="V12" s="2">
        <v>0</v>
      </c>
      <c r="W12" s="2">
        <v>0</v>
      </c>
      <c r="X12" s="2">
        <v>0</v>
      </c>
    </row>
    <row r="13" spans="1:24">
      <c r="A13" s="2"/>
      <c r="B13" s="2"/>
      <c r="C13" s="2"/>
      <c r="D13" s="2"/>
      <c r="G13" s="2"/>
      <c r="H13" s="2"/>
      <c r="I13" s="2"/>
      <c r="P13" s="20" t="s">
        <v>15</v>
      </c>
      <c r="Q13" s="2">
        <v>500</v>
      </c>
      <c r="R13" s="2">
        <v>500</v>
      </c>
      <c r="S13" s="2">
        <v>500</v>
      </c>
      <c r="U13" s="20" t="s">
        <v>15</v>
      </c>
      <c r="V13" s="2">
        <v>0</v>
      </c>
      <c r="W13" s="2">
        <v>0</v>
      </c>
      <c r="X13" s="2">
        <v>0</v>
      </c>
    </row>
    <row r="14" spans="1:24">
      <c r="A14" s="2"/>
      <c r="B14" s="2"/>
      <c r="C14" s="2"/>
      <c r="D14" s="2"/>
      <c r="P14" s="20" t="s">
        <v>16</v>
      </c>
      <c r="Q14" s="2">
        <v>500</v>
      </c>
      <c r="R14" s="2">
        <v>500</v>
      </c>
      <c r="S14" s="2">
        <v>500</v>
      </c>
      <c r="U14" s="20" t="s">
        <v>16</v>
      </c>
      <c r="V14" s="2">
        <v>0</v>
      </c>
      <c r="W14" s="2">
        <v>0</v>
      </c>
      <c r="X14" s="2">
        <v>0</v>
      </c>
    </row>
    <row r="15" spans="1:24">
      <c r="P15" s="32" t="s">
        <v>17</v>
      </c>
      <c r="Q15" s="2">
        <v>500</v>
      </c>
      <c r="R15" s="2">
        <v>500</v>
      </c>
      <c r="S15" s="2">
        <v>500</v>
      </c>
      <c r="U15" s="32" t="s">
        <v>17</v>
      </c>
      <c r="V15" s="2">
        <v>0</v>
      </c>
      <c r="W15" s="2">
        <v>0</v>
      </c>
      <c r="X15" s="2">
        <v>0</v>
      </c>
    </row>
    <row r="16" spans="1:24">
      <c r="P16" s="32" t="s">
        <v>18</v>
      </c>
      <c r="Q16" s="2">
        <v>500</v>
      </c>
      <c r="R16" s="2">
        <v>500</v>
      </c>
      <c r="S16" s="2">
        <v>500</v>
      </c>
      <c r="U16" s="32" t="s">
        <v>18</v>
      </c>
      <c r="V16" s="2">
        <v>0</v>
      </c>
      <c r="W16" s="2">
        <v>0</v>
      </c>
      <c r="X16" s="2">
        <v>0</v>
      </c>
    </row>
    <row r="17" spans="16:24">
      <c r="P17" s="64" t="s">
        <v>19</v>
      </c>
      <c r="Q17" s="2">
        <v>500</v>
      </c>
      <c r="R17" s="2">
        <v>500</v>
      </c>
      <c r="S17" s="2">
        <v>500</v>
      </c>
      <c r="U17" s="64" t="s">
        <v>19</v>
      </c>
      <c r="V17" s="2">
        <v>0</v>
      </c>
      <c r="W17" s="2">
        <v>0</v>
      </c>
      <c r="X17" s="2">
        <v>0</v>
      </c>
    </row>
    <row r="18" spans="16:24">
      <c r="P18" s="64" t="s">
        <v>20</v>
      </c>
      <c r="Q18" s="2">
        <v>500</v>
      </c>
      <c r="R18" s="2">
        <v>500</v>
      </c>
      <c r="S18" s="2">
        <v>500</v>
      </c>
      <c r="U18" s="64" t="s">
        <v>20</v>
      </c>
      <c r="V18" s="2">
        <v>0</v>
      </c>
      <c r="W18" s="2">
        <v>0</v>
      </c>
      <c r="X18" s="2">
        <v>0</v>
      </c>
    </row>
    <row r="19" spans="16:24">
      <c r="P19" s="64" t="s">
        <v>84</v>
      </c>
      <c r="Q19" s="2">
        <v>500</v>
      </c>
      <c r="R19" s="2">
        <v>500</v>
      </c>
      <c r="S19" s="2">
        <v>500</v>
      </c>
      <c r="U19" s="64" t="s">
        <v>84</v>
      </c>
      <c r="V19" s="2">
        <v>0</v>
      </c>
      <c r="W19" s="2">
        <v>0</v>
      </c>
      <c r="X19" s="2">
        <v>0</v>
      </c>
    </row>
    <row r="20" spans="16:24">
      <c r="P20" s="64" t="s">
        <v>85</v>
      </c>
      <c r="Q20" s="2">
        <v>500</v>
      </c>
      <c r="R20" s="2">
        <v>500</v>
      </c>
      <c r="S20" s="2">
        <v>500</v>
      </c>
      <c r="U20" s="64" t="s">
        <v>85</v>
      </c>
      <c r="V20" s="2">
        <v>0</v>
      </c>
      <c r="W20" s="2">
        <v>0</v>
      </c>
      <c r="X20" s="2">
        <v>0</v>
      </c>
    </row>
    <row r="21" spans="16:24">
      <c r="P21" s="64" t="s">
        <v>146</v>
      </c>
      <c r="Q21" s="40">
        <v>32</v>
      </c>
      <c r="R21" s="40">
        <v>32</v>
      </c>
      <c r="S21" s="40">
        <v>32</v>
      </c>
      <c r="U21" s="64" t="s">
        <v>146</v>
      </c>
      <c r="V21" s="2">
        <v>0</v>
      </c>
      <c r="W21" s="2">
        <v>0</v>
      </c>
      <c r="X21" s="2">
        <v>0</v>
      </c>
    </row>
    <row r="22" spans="16:24">
      <c r="P22" s="64" t="s">
        <v>21</v>
      </c>
      <c r="Q22" s="2">
        <v>500</v>
      </c>
      <c r="R22" s="2">
        <v>500</v>
      </c>
      <c r="S22" s="2">
        <v>500</v>
      </c>
      <c r="U22" s="64" t="s">
        <v>21</v>
      </c>
      <c r="V22" s="2">
        <v>0</v>
      </c>
      <c r="W22" s="2">
        <v>0</v>
      </c>
      <c r="X22" s="2">
        <v>0</v>
      </c>
    </row>
  </sheetData>
  <mergeCells count="4">
    <mergeCell ref="P1:S1"/>
    <mergeCell ref="U1:X1"/>
    <mergeCell ref="F1:I1"/>
    <mergeCell ref="K1:N1"/>
  </mergeCells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0DAE-A5F6-4C61-8083-638E01B2C352}">
  <dimension ref="A1:BO202"/>
  <sheetViews>
    <sheetView tabSelected="1" topLeftCell="D1" zoomScale="130" zoomScaleNormal="130" workbookViewId="0">
      <selection activeCell="O27" sqref="O27"/>
    </sheetView>
  </sheetViews>
  <sheetFormatPr baseColWidth="10" defaultColWidth="11.7109375" defaultRowHeight="15"/>
  <cols>
    <col min="11" max="11" width="19.85546875" bestFit="1" customWidth="1"/>
    <col min="45" max="45" width="11.85546875" customWidth="1"/>
    <col min="46" max="46" width="28" bestFit="1" customWidth="1"/>
    <col min="49" max="49" width="36" bestFit="1" customWidth="1"/>
    <col min="50" max="50" width="12.85546875" bestFit="1" customWidth="1"/>
    <col min="51" max="51" width="11.5703125" bestFit="1" customWidth="1"/>
    <col min="57" max="57" width="50.42578125" bestFit="1" customWidth="1"/>
  </cols>
  <sheetData>
    <row r="1" spans="1:67">
      <c r="A1" s="74" t="s">
        <v>123</v>
      </c>
      <c r="B1" s="74"/>
      <c r="C1" s="74"/>
      <c r="D1" s="74"/>
      <c r="F1" s="74" t="s">
        <v>124</v>
      </c>
      <c r="G1" s="74"/>
      <c r="H1" s="74"/>
      <c r="I1" s="74"/>
      <c r="K1" s="112" t="s">
        <v>147</v>
      </c>
      <c r="L1" s="97" t="s">
        <v>141</v>
      </c>
      <c r="M1" s="98"/>
      <c r="N1" s="99"/>
      <c r="O1" s="100" t="s">
        <v>142</v>
      </c>
      <c r="P1" s="101"/>
      <c r="Q1" s="102"/>
      <c r="R1" s="103" t="s">
        <v>143</v>
      </c>
      <c r="S1" s="104"/>
      <c r="T1" s="105"/>
      <c r="U1" s="106" t="s">
        <v>144</v>
      </c>
      <c r="V1" s="107"/>
      <c r="W1" s="108"/>
      <c r="X1" s="109" t="s">
        <v>145</v>
      </c>
      <c r="Y1" s="110"/>
      <c r="Z1" s="111"/>
      <c r="AB1" s="74" t="s">
        <v>125</v>
      </c>
      <c r="AC1" s="74"/>
      <c r="AD1" s="74"/>
      <c r="AE1" s="74"/>
      <c r="AH1" s="74" t="s">
        <v>140</v>
      </c>
      <c r="AI1" s="74"/>
      <c r="AJ1" s="74"/>
      <c r="AK1" s="74"/>
      <c r="AN1" s="75" t="s">
        <v>126</v>
      </c>
      <c r="AO1" s="76"/>
      <c r="AP1" s="76"/>
      <c r="AQ1" s="77"/>
      <c r="AS1" s="11"/>
      <c r="AT1" s="20" t="s">
        <v>132</v>
      </c>
      <c r="AV1" s="11"/>
      <c r="AW1" s="20" t="s">
        <v>127</v>
      </c>
      <c r="AY1" s="74" t="s">
        <v>128</v>
      </c>
      <c r="AZ1" s="74"/>
      <c r="BA1" s="74"/>
      <c r="BB1" s="74"/>
      <c r="BE1" s="31" t="s">
        <v>129</v>
      </c>
      <c r="BG1" s="74" t="s">
        <v>130</v>
      </c>
      <c r="BH1" s="74"/>
      <c r="BI1" s="74"/>
      <c r="BJ1" s="74"/>
      <c r="BL1" s="74" t="s">
        <v>131</v>
      </c>
      <c r="BM1" s="74"/>
      <c r="BN1" s="74"/>
      <c r="BO1" s="74"/>
    </row>
    <row r="2" spans="1:67">
      <c r="A2" s="36"/>
      <c r="B2" s="11" t="s">
        <v>87</v>
      </c>
      <c r="C2" s="11" t="s">
        <v>88</v>
      </c>
      <c r="D2" s="11" t="s">
        <v>89</v>
      </c>
      <c r="E2" s="38"/>
      <c r="F2" s="11"/>
      <c r="G2" s="11" t="s">
        <v>87</v>
      </c>
      <c r="H2" s="11" t="s">
        <v>88</v>
      </c>
      <c r="I2" s="11" t="s">
        <v>89</v>
      </c>
      <c r="K2" s="112"/>
      <c r="L2" s="96" t="s">
        <v>87</v>
      </c>
      <c r="M2" s="96" t="s">
        <v>88</v>
      </c>
      <c r="N2" s="96" t="s">
        <v>89</v>
      </c>
      <c r="O2" s="88" t="s">
        <v>87</v>
      </c>
      <c r="P2" s="88" t="s">
        <v>88</v>
      </c>
      <c r="Q2" s="88" t="s">
        <v>89</v>
      </c>
      <c r="R2" s="89" t="s">
        <v>87</v>
      </c>
      <c r="S2" s="89" t="s">
        <v>88</v>
      </c>
      <c r="T2" s="89" t="s">
        <v>89</v>
      </c>
      <c r="U2" s="90" t="s">
        <v>87</v>
      </c>
      <c r="V2" s="90" t="s">
        <v>88</v>
      </c>
      <c r="W2" s="90" t="s">
        <v>89</v>
      </c>
      <c r="X2" s="91" t="s">
        <v>87</v>
      </c>
      <c r="Y2" s="91" t="s">
        <v>88</v>
      </c>
      <c r="Z2" s="91" t="s">
        <v>89</v>
      </c>
      <c r="AB2" s="11"/>
      <c r="AC2" s="11" t="s">
        <v>87</v>
      </c>
      <c r="AD2" s="11" t="s">
        <v>88</v>
      </c>
      <c r="AE2" s="11" t="s">
        <v>89</v>
      </c>
      <c r="AH2" s="11"/>
      <c r="AI2" s="11" t="s">
        <v>87</v>
      </c>
      <c r="AJ2" s="11" t="s">
        <v>88</v>
      </c>
      <c r="AK2" s="11" t="s">
        <v>89</v>
      </c>
      <c r="AN2" s="11"/>
      <c r="AO2" s="11" t="s">
        <v>87</v>
      </c>
      <c r="AP2" s="11" t="s">
        <v>88</v>
      </c>
      <c r="AQ2" s="11" t="s">
        <v>89</v>
      </c>
      <c r="AS2" s="20" t="s">
        <v>5</v>
      </c>
      <c r="AT2" s="2">
        <v>1.4999999999999999E-2</v>
      </c>
      <c r="AV2" s="20" t="s">
        <v>5</v>
      </c>
      <c r="AW2" s="2">
        <v>0</v>
      </c>
      <c r="AY2" s="11"/>
      <c r="AZ2" s="11" t="s">
        <v>87</v>
      </c>
      <c r="BA2" s="11" t="s">
        <v>88</v>
      </c>
      <c r="BB2" s="11" t="s">
        <v>89</v>
      </c>
      <c r="BD2" s="20" t="s">
        <v>5</v>
      </c>
      <c r="BE2" s="2">
        <v>0</v>
      </c>
      <c r="BG2" s="11"/>
      <c r="BH2" s="11" t="s">
        <v>87</v>
      </c>
      <c r="BI2" s="11" t="s">
        <v>88</v>
      </c>
      <c r="BJ2" s="11" t="s">
        <v>89</v>
      </c>
      <c r="BL2" s="11"/>
      <c r="BM2" s="11" t="s">
        <v>87</v>
      </c>
      <c r="BN2" s="11" t="s">
        <v>88</v>
      </c>
      <c r="BO2" s="11" t="s">
        <v>89</v>
      </c>
    </row>
    <row r="3" spans="1:67">
      <c r="A3" s="37" t="s">
        <v>5</v>
      </c>
      <c r="B3" s="2">
        <v>520</v>
      </c>
      <c r="C3" s="2">
        <v>520</v>
      </c>
      <c r="D3" s="2">
        <v>520</v>
      </c>
      <c r="E3" s="6"/>
      <c r="F3" s="20" t="s">
        <v>5</v>
      </c>
      <c r="G3" s="93">
        <f>+L3+O3+R3+U3+X3</f>
        <v>442.65000000000003</v>
      </c>
      <c r="H3" s="93">
        <f t="shared" ref="H3:I3" si="0">+M3+P3+S3+V3+Y3</f>
        <v>442.65000000000003</v>
      </c>
      <c r="I3" s="93">
        <f t="shared" si="0"/>
        <v>442.65000000000003</v>
      </c>
      <c r="K3" s="95" t="s">
        <v>5</v>
      </c>
      <c r="L3" s="92">
        <v>66</v>
      </c>
      <c r="M3" s="92">
        <v>66</v>
      </c>
      <c r="N3" s="92">
        <v>66</v>
      </c>
      <c r="O3" s="92">
        <v>99.05</v>
      </c>
      <c r="P3" s="92">
        <v>99.05</v>
      </c>
      <c r="Q3" s="92">
        <v>99.05</v>
      </c>
      <c r="R3" s="92">
        <v>172.10000000000002</v>
      </c>
      <c r="S3" s="92">
        <v>172.10000000000002</v>
      </c>
      <c r="T3" s="92">
        <v>172.10000000000002</v>
      </c>
      <c r="U3" s="92">
        <v>80.5</v>
      </c>
      <c r="V3" s="92">
        <v>80.5</v>
      </c>
      <c r="W3" s="92">
        <v>80.5</v>
      </c>
      <c r="X3" s="92">
        <v>25</v>
      </c>
      <c r="Y3" s="92">
        <v>25</v>
      </c>
      <c r="Z3" s="92">
        <v>25</v>
      </c>
      <c r="AB3" s="20" t="s">
        <v>5</v>
      </c>
      <c r="AC3" s="2">
        <v>80</v>
      </c>
      <c r="AD3" s="2">
        <v>80</v>
      </c>
      <c r="AE3" s="2">
        <v>80</v>
      </c>
      <c r="AG3" s="20" t="s">
        <v>13</v>
      </c>
      <c r="AH3" s="20" t="s">
        <v>48</v>
      </c>
      <c r="AI3" s="41">
        <v>0</v>
      </c>
      <c r="AJ3" s="41">
        <v>0</v>
      </c>
      <c r="AK3" s="41">
        <v>0</v>
      </c>
      <c r="AM3" s="20" t="s">
        <v>5</v>
      </c>
      <c r="AN3" s="20" t="s">
        <v>48</v>
      </c>
      <c r="AO3" s="1">
        <v>0</v>
      </c>
      <c r="AP3" s="1">
        <v>0</v>
      </c>
      <c r="AQ3" s="1">
        <v>0</v>
      </c>
      <c r="AS3" s="20" t="s">
        <v>6</v>
      </c>
      <c r="AT3" s="2">
        <v>0</v>
      </c>
      <c r="AV3" s="20" t="s">
        <v>6</v>
      </c>
      <c r="AW3" s="2">
        <v>0</v>
      </c>
      <c r="AY3" s="20" t="s">
        <v>5</v>
      </c>
      <c r="AZ3" s="2">
        <v>9</v>
      </c>
      <c r="BA3" s="2">
        <v>9</v>
      </c>
      <c r="BB3" s="2">
        <v>9</v>
      </c>
      <c r="BD3" s="20" t="s">
        <v>6</v>
      </c>
      <c r="BE3" s="2">
        <v>0</v>
      </c>
      <c r="BG3" s="20" t="s">
        <v>5</v>
      </c>
      <c r="BH3" s="2">
        <v>8</v>
      </c>
      <c r="BI3" s="2">
        <v>8</v>
      </c>
      <c r="BJ3" s="2">
        <v>8</v>
      </c>
      <c r="BL3" s="20" t="s">
        <v>5</v>
      </c>
      <c r="BM3" s="2">
        <v>17</v>
      </c>
      <c r="BN3" s="2">
        <v>17</v>
      </c>
      <c r="BO3" s="2">
        <v>17</v>
      </c>
    </row>
    <row r="4" spans="1:67">
      <c r="A4" s="37" t="s">
        <v>6</v>
      </c>
      <c r="B4" s="2">
        <v>490</v>
      </c>
      <c r="C4" s="2">
        <v>490</v>
      </c>
      <c r="D4" s="2">
        <v>490</v>
      </c>
      <c r="F4" s="20" t="s">
        <v>6</v>
      </c>
      <c r="G4" s="93">
        <f t="shared" ref="G4:G22" si="1">+L4+O4+R4+U4+X4</f>
        <v>439.93700000000001</v>
      </c>
      <c r="H4" s="93">
        <f t="shared" ref="H4:H22" si="2">+M4+P4+S4+V4+Y4</f>
        <v>439.93700000000001</v>
      </c>
      <c r="I4" s="93">
        <f t="shared" ref="I4:I22" si="3">+N4+Q4+T4+W4+Z4</f>
        <v>439.93700000000001</v>
      </c>
      <c r="K4" s="95" t="s">
        <v>6</v>
      </c>
      <c r="L4" s="92">
        <v>72</v>
      </c>
      <c r="M4" s="92">
        <v>72</v>
      </c>
      <c r="N4" s="92">
        <v>72</v>
      </c>
      <c r="O4" s="92">
        <v>90.337000000000003</v>
      </c>
      <c r="P4" s="92">
        <v>90.337000000000003</v>
      </c>
      <c r="Q4" s="92">
        <v>90.337000000000003</v>
      </c>
      <c r="R4" s="92">
        <v>172.10000000000002</v>
      </c>
      <c r="S4" s="92">
        <v>172.10000000000002</v>
      </c>
      <c r="T4" s="92">
        <v>172.10000000000002</v>
      </c>
      <c r="U4" s="92">
        <v>80.5</v>
      </c>
      <c r="V4" s="92">
        <v>80.5</v>
      </c>
      <c r="W4" s="92">
        <v>80.5</v>
      </c>
      <c r="X4" s="92">
        <v>25</v>
      </c>
      <c r="Y4" s="92">
        <v>25</v>
      </c>
      <c r="Z4" s="92">
        <v>25</v>
      </c>
      <c r="AB4" s="20" t="s">
        <v>6</v>
      </c>
      <c r="AC4" s="2">
        <v>80</v>
      </c>
      <c r="AD4" s="2">
        <v>80</v>
      </c>
      <c r="AE4" s="2">
        <v>80</v>
      </c>
      <c r="AG4" s="20" t="s">
        <v>7</v>
      </c>
      <c r="AH4" s="20" t="s">
        <v>48</v>
      </c>
      <c r="AI4" s="1">
        <v>116</v>
      </c>
      <c r="AJ4" s="54">
        <v>116</v>
      </c>
      <c r="AK4" s="54">
        <v>116</v>
      </c>
      <c r="AM4" s="20" t="s">
        <v>6</v>
      </c>
      <c r="AN4" s="20" t="s">
        <v>48</v>
      </c>
      <c r="AO4" s="1">
        <v>0</v>
      </c>
      <c r="AP4" s="1">
        <v>0</v>
      </c>
      <c r="AQ4" s="1">
        <v>0</v>
      </c>
      <c r="AS4" s="20" t="s">
        <v>7</v>
      </c>
      <c r="AT4" s="2">
        <v>0</v>
      </c>
      <c r="AV4" s="20" t="s">
        <v>7</v>
      </c>
      <c r="AW4" s="2">
        <v>0</v>
      </c>
      <c r="AY4" s="20" t="s">
        <v>6</v>
      </c>
      <c r="AZ4" s="2">
        <v>9</v>
      </c>
      <c r="BA4" s="2">
        <v>9</v>
      </c>
      <c r="BB4" s="2">
        <v>9</v>
      </c>
      <c r="BD4" s="20" t="s">
        <v>7</v>
      </c>
      <c r="BE4" s="2">
        <v>1</v>
      </c>
      <c r="BG4" s="20" t="s">
        <v>6</v>
      </c>
      <c r="BH4" s="2">
        <v>8</v>
      </c>
      <c r="BI4" s="2">
        <v>8</v>
      </c>
      <c r="BJ4" s="2">
        <v>8</v>
      </c>
      <c r="BL4" s="20" t="s">
        <v>6</v>
      </c>
      <c r="BM4" s="2">
        <v>33</v>
      </c>
      <c r="BN4" s="2">
        <v>33</v>
      </c>
      <c r="BO4" s="2">
        <v>33</v>
      </c>
    </row>
    <row r="5" spans="1:67">
      <c r="A5" s="37" t="s">
        <v>7</v>
      </c>
      <c r="B5" s="2">
        <v>250</v>
      </c>
      <c r="C5" s="2">
        <v>250</v>
      </c>
      <c r="D5" s="2">
        <v>250</v>
      </c>
      <c r="F5" s="20" t="s">
        <v>7</v>
      </c>
      <c r="G5" s="93">
        <f t="shared" si="1"/>
        <v>331.03549999999996</v>
      </c>
      <c r="H5" s="93">
        <f t="shared" si="2"/>
        <v>331.03549999999996</v>
      </c>
      <c r="I5" s="93">
        <f t="shared" si="3"/>
        <v>331.03549999999996</v>
      </c>
      <c r="K5" s="95" t="s">
        <v>7</v>
      </c>
      <c r="L5" s="92">
        <v>36</v>
      </c>
      <c r="M5" s="92">
        <v>36</v>
      </c>
      <c r="N5" s="92">
        <v>36</v>
      </c>
      <c r="O5" s="92">
        <v>38.895499999999998</v>
      </c>
      <c r="P5" s="92">
        <v>38.895499999999998</v>
      </c>
      <c r="Q5" s="92">
        <v>38.895499999999998</v>
      </c>
      <c r="R5" s="92">
        <v>160.13999999999999</v>
      </c>
      <c r="S5" s="92">
        <v>160.13999999999999</v>
      </c>
      <c r="T5" s="92">
        <v>160.13999999999999</v>
      </c>
      <c r="U5" s="92">
        <v>71</v>
      </c>
      <c r="V5" s="92">
        <v>71</v>
      </c>
      <c r="W5" s="92">
        <v>71</v>
      </c>
      <c r="X5" s="92">
        <v>25</v>
      </c>
      <c r="Y5" s="92">
        <v>25</v>
      </c>
      <c r="Z5" s="92">
        <v>25</v>
      </c>
      <c r="AB5" s="20" t="s">
        <v>7</v>
      </c>
      <c r="AC5" s="2">
        <v>70</v>
      </c>
      <c r="AD5" s="2">
        <v>70</v>
      </c>
      <c r="AE5" s="2">
        <v>70</v>
      </c>
      <c r="AG5" s="53" t="s">
        <v>84</v>
      </c>
      <c r="AH5" s="20" t="s">
        <v>48</v>
      </c>
      <c r="AI5" s="41">
        <v>0</v>
      </c>
      <c r="AJ5" s="41">
        <v>0</v>
      </c>
      <c r="AK5" s="41">
        <v>0</v>
      </c>
      <c r="AM5" s="20" t="s">
        <v>7</v>
      </c>
      <c r="AN5" s="20" t="s">
        <v>48</v>
      </c>
      <c r="AO5" s="1">
        <v>0</v>
      </c>
      <c r="AP5" s="1">
        <v>0</v>
      </c>
      <c r="AQ5" s="1">
        <v>0</v>
      </c>
      <c r="AS5" s="20" t="s">
        <v>8</v>
      </c>
      <c r="AT5" s="2">
        <v>0</v>
      </c>
      <c r="AV5" s="20" t="s">
        <v>8</v>
      </c>
      <c r="AW5" s="2">
        <v>0</v>
      </c>
      <c r="AY5" s="20" t="s">
        <v>7</v>
      </c>
      <c r="AZ5" s="2">
        <v>9</v>
      </c>
      <c r="BA5" s="2">
        <v>9</v>
      </c>
      <c r="BB5" s="2">
        <v>9</v>
      </c>
      <c r="BD5" s="20" t="s">
        <v>8</v>
      </c>
      <c r="BE5" s="2">
        <v>0</v>
      </c>
      <c r="BG5" s="20" t="s">
        <v>7</v>
      </c>
      <c r="BH5" s="2">
        <v>8</v>
      </c>
      <c r="BI5" s="2">
        <v>8</v>
      </c>
      <c r="BJ5" s="2">
        <v>8</v>
      </c>
      <c r="BL5" s="20" t="s">
        <v>7</v>
      </c>
      <c r="BM5" s="2">
        <v>0</v>
      </c>
      <c r="BN5" s="2">
        <v>0</v>
      </c>
      <c r="BO5" s="2">
        <v>0</v>
      </c>
    </row>
    <row r="6" spans="1:67">
      <c r="A6" s="37" t="s">
        <v>8</v>
      </c>
      <c r="B6" s="2">
        <v>550</v>
      </c>
      <c r="C6" s="2">
        <v>1100</v>
      </c>
      <c r="D6" s="2">
        <v>550</v>
      </c>
      <c r="F6" s="20" t="s">
        <v>8</v>
      </c>
      <c r="G6" s="93">
        <f t="shared" si="1"/>
        <v>313.14300000000003</v>
      </c>
      <c r="H6" s="93">
        <f t="shared" si="2"/>
        <v>313.14300000000003</v>
      </c>
      <c r="I6" s="93">
        <f t="shared" si="3"/>
        <v>313.14300000000003</v>
      </c>
      <c r="K6" s="95" t="s">
        <v>8</v>
      </c>
      <c r="L6" s="92">
        <v>21.25</v>
      </c>
      <c r="M6" s="92">
        <v>21.25</v>
      </c>
      <c r="N6" s="92">
        <v>21.25</v>
      </c>
      <c r="O6" s="92">
        <v>29.292999999999999</v>
      </c>
      <c r="P6" s="92">
        <v>29.292999999999999</v>
      </c>
      <c r="Q6" s="92">
        <v>29.292999999999999</v>
      </c>
      <c r="R6" s="92">
        <v>172.10000000000002</v>
      </c>
      <c r="S6" s="92">
        <v>172.10000000000002</v>
      </c>
      <c r="T6" s="92">
        <v>172.10000000000002</v>
      </c>
      <c r="U6" s="92">
        <v>65.5</v>
      </c>
      <c r="V6" s="92">
        <v>65.5</v>
      </c>
      <c r="W6" s="92">
        <v>65.5</v>
      </c>
      <c r="X6" s="92">
        <v>25</v>
      </c>
      <c r="Y6" s="92">
        <v>25</v>
      </c>
      <c r="Z6" s="92">
        <v>25</v>
      </c>
      <c r="AB6" s="20" t="s">
        <v>8</v>
      </c>
      <c r="AC6" s="2">
        <v>122</v>
      </c>
      <c r="AD6" s="2">
        <v>122</v>
      </c>
      <c r="AE6" s="2">
        <v>122</v>
      </c>
      <c r="AG6" s="53" t="s">
        <v>21</v>
      </c>
      <c r="AH6" s="20" t="s">
        <v>48</v>
      </c>
      <c r="AI6" s="41">
        <v>0</v>
      </c>
      <c r="AJ6" s="41">
        <v>0</v>
      </c>
      <c r="AK6" s="41">
        <v>0</v>
      </c>
      <c r="AM6" s="20" t="s">
        <v>8</v>
      </c>
      <c r="AN6" s="20" t="s">
        <v>48</v>
      </c>
      <c r="AO6" s="1">
        <v>0</v>
      </c>
      <c r="AP6" s="1">
        <v>0</v>
      </c>
      <c r="AQ6" s="1">
        <v>0</v>
      </c>
      <c r="AS6" s="20" t="s">
        <v>9</v>
      </c>
      <c r="AT6" s="2">
        <v>1.4999999999999999E-2</v>
      </c>
      <c r="AV6" s="20" t="s">
        <v>9</v>
      </c>
      <c r="AW6" s="2">
        <v>0</v>
      </c>
      <c r="AY6" s="20" t="s">
        <v>8</v>
      </c>
      <c r="AZ6" s="2">
        <v>9</v>
      </c>
      <c r="BA6" s="2">
        <v>9</v>
      </c>
      <c r="BB6" s="2">
        <v>9</v>
      </c>
      <c r="BD6" s="20" t="s">
        <v>9</v>
      </c>
      <c r="BE6" s="2">
        <v>0</v>
      </c>
      <c r="BG6" s="20" t="s">
        <v>8</v>
      </c>
      <c r="BH6" s="2">
        <v>8</v>
      </c>
      <c r="BI6" s="2">
        <v>8</v>
      </c>
      <c r="BJ6" s="2">
        <v>8</v>
      </c>
      <c r="BL6" s="20" t="s">
        <v>8</v>
      </c>
      <c r="BM6" s="2">
        <v>22</v>
      </c>
      <c r="BN6" s="2">
        <v>22</v>
      </c>
      <c r="BO6" s="2">
        <v>22</v>
      </c>
    </row>
    <row r="7" spans="1:67">
      <c r="A7" s="37" t="s">
        <v>9</v>
      </c>
      <c r="B7" s="2">
        <v>216</v>
      </c>
      <c r="C7" s="2">
        <v>190</v>
      </c>
      <c r="D7" s="2">
        <v>180</v>
      </c>
      <c r="F7" s="20" t="s">
        <v>9</v>
      </c>
      <c r="G7" s="93">
        <f t="shared" si="1"/>
        <v>443.18321496146569</v>
      </c>
      <c r="H7" s="93">
        <f t="shared" si="2"/>
        <v>443.18321496146569</v>
      </c>
      <c r="I7" s="93">
        <f t="shared" si="3"/>
        <v>443.18321496146569</v>
      </c>
      <c r="K7" s="95" t="s">
        <v>9</v>
      </c>
      <c r="L7" s="92">
        <v>59.5</v>
      </c>
      <c r="M7" s="92">
        <v>59.5</v>
      </c>
      <c r="N7" s="92">
        <v>59.5</v>
      </c>
      <c r="O7" s="92">
        <v>49.864999999999995</v>
      </c>
      <c r="P7" s="92">
        <v>49.864999999999995</v>
      </c>
      <c r="Q7" s="92">
        <v>49.864999999999995</v>
      </c>
      <c r="R7" s="92">
        <v>222.6</v>
      </c>
      <c r="S7" s="92">
        <v>222.6</v>
      </c>
      <c r="T7" s="92">
        <v>222.6</v>
      </c>
      <c r="U7" s="92">
        <v>86.218214961465705</v>
      </c>
      <c r="V7" s="92">
        <v>86.218214961465705</v>
      </c>
      <c r="W7" s="92">
        <v>86.218214961465705</v>
      </c>
      <c r="X7" s="92">
        <v>25</v>
      </c>
      <c r="Y7" s="92">
        <v>25</v>
      </c>
      <c r="Z7" s="92">
        <v>25</v>
      </c>
      <c r="AB7" s="20" t="s">
        <v>9</v>
      </c>
      <c r="AC7" s="2">
        <v>75</v>
      </c>
      <c r="AD7" s="2">
        <v>75</v>
      </c>
      <c r="AE7" s="2">
        <v>75</v>
      </c>
      <c r="AG7" s="20" t="s">
        <v>10</v>
      </c>
      <c r="AH7" s="20" t="s">
        <v>48</v>
      </c>
      <c r="AI7" s="61">
        <v>116</v>
      </c>
      <c r="AJ7" s="61">
        <v>116</v>
      </c>
      <c r="AK7" s="61">
        <v>116</v>
      </c>
      <c r="AM7" s="20" t="s">
        <v>9</v>
      </c>
      <c r="AN7" s="20" t="s">
        <v>48</v>
      </c>
      <c r="AO7" s="1">
        <v>0</v>
      </c>
      <c r="AP7" s="1">
        <v>0</v>
      </c>
      <c r="AQ7" s="1">
        <v>0</v>
      </c>
      <c r="AS7" s="20" t="s">
        <v>10</v>
      </c>
      <c r="AT7" s="2">
        <v>0</v>
      </c>
      <c r="AV7" s="20" t="s">
        <v>10</v>
      </c>
      <c r="AW7" s="2">
        <v>0</v>
      </c>
      <c r="AY7" s="20" t="s">
        <v>9</v>
      </c>
      <c r="AZ7" s="2">
        <v>9</v>
      </c>
      <c r="BA7" s="2">
        <v>9</v>
      </c>
      <c r="BB7" s="2">
        <v>9</v>
      </c>
      <c r="BD7" s="20" t="s">
        <v>10</v>
      </c>
      <c r="BE7" s="2">
        <v>0</v>
      </c>
      <c r="BG7" s="20" t="s">
        <v>9</v>
      </c>
      <c r="BH7" s="2">
        <v>8</v>
      </c>
      <c r="BI7" s="2">
        <v>8</v>
      </c>
      <c r="BJ7" s="2">
        <v>8</v>
      </c>
      <c r="BL7" s="20" t="s">
        <v>9</v>
      </c>
      <c r="BM7" s="2">
        <v>13</v>
      </c>
      <c r="BN7" s="2">
        <v>13</v>
      </c>
      <c r="BO7" s="2">
        <v>13</v>
      </c>
    </row>
    <row r="8" spans="1:67">
      <c r="A8" s="37" t="s">
        <v>10</v>
      </c>
      <c r="B8" s="2">
        <v>380</v>
      </c>
      <c r="C8" s="2">
        <v>380</v>
      </c>
      <c r="D8" s="2">
        <v>380</v>
      </c>
      <c r="F8" s="20" t="s">
        <v>10</v>
      </c>
      <c r="G8" s="93">
        <f t="shared" si="1"/>
        <v>367.89800000000002</v>
      </c>
      <c r="H8" s="93">
        <f t="shared" si="2"/>
        <v>367.89800000000002</v>
      </c>
      <c r="I8" s="93">
        <f t="shared" si="3"/>
        <v>367.89800000000002</v>
      </c>
      <c r="K8" s="95" t="s">
        <v>10</v>
      </c>
      <c r="L8" s="92">
        <v>14.95</v>
      </c>
      <c r="M8" s="92">
        <v>14.95</v>
      </c>
      <c r="N8" s="92">
        <v>14.95</v>
      </c>
      <c r="O8" s="92">
        <v>80.847999999999999</v>
      </c>
      <c r="P8" s="92">
        <v>80.847999999999999</v>
      </c>
      <c r="Q8" s="92">
        <v>80.847999999999999</v>
      </c>
      <c r="R8" s="92">
        <v>172.10000000000002</v>
      </c>
      <c r="S8" s="92">
        <v>172.10000000000002</v>
      </c>
      <c r="T8" s="92">
        <v>172.10000000000002</v>
      </c>
      <c r="U8" s="92">
        <v>75</v>
      </c>
      <c r="V8" s="92">
        <v>75</v>
      </c>
      <c r="W8" s="92">
        <v>75</v>
      </c>
      <c r="X8" s="92">
        <v>25</v>
      </c>
      <c r="Y8" s="92">
        <v>25</v>
      </c>
      <c r="Z8" s="92">
        <v>25</v>
      </c>
      <c r="AB8" s="20" t="s">
        <v>10</v>
      </c>
      <c r="AC8" s="2">
        <v>80</v>
      </c>
      <c r="AD8" s="2">
        <v>80</v>
      </c>
      <c r="AE8" s="2">
        <v>80</v>
      </c>
      <c r="AG8" s="20" t="s">
        <v>6</v>
      </c>
      <c r="AH8" s="20" t="s">
        <v>48</v>
      </c>
      <c r="AI8" s="54">
        <v>116</v>
      </c>
      <c r="AJ8" s="54">
        <v>116</v>
      </c>
      <c r="AK8" s="54">
        <v>116</v>
      </c>
      <c r="AM8" s="20" t="s">
        <v>10</v>
      </c>
      <c r="AN8" s="20" t="s">
        <v>48</v>
      </c>
      <c r="AO8" s="1">
        <v>0</v>
      </c>
      <c r="AP8" s="1">
        <v>0</v>
      </c>
      <c r="AQ8" s="1">
        <v>0</v>
      </c>
      <c r="AS8" s="20" t="s">
        <v>11</v>
      </c>
      <c r="AT8" s="2">
        <v>0</v>
      </c>
      <c r="AV8" s="20" t="s">
        <v>11</v>
      </c>
      <c r="AW8" s="2">
        <v>0</v>
      </c>
      <c r="AY8" s="20" t="s">
        <v>10</v>
      </c>
      <c r="AZ8" s="2">
        <v>9</v>
      </c>
      <c r="BA8" s="2">
        <v>9</v>
      </c>
      <c r="BB8" s="2">
        <v>9</v>
      </c>
      <c r="BD8" s="20" t="s">
        <v>11</v>
      </c>
      <c r="BE8" s="2">
        <v>0</v>
      </c>
      <c r="BG8" s="20" t="s">
        <v>10</v>
      </c>
      <c r="BH8" s="2">
        <v>0</v>
      </c>
      <c r="BI8" s="2">
        <v>0</v>
      </c>
      <c r="BJ8" s="2">
        <v>0</v>
      </c>
      <c r="BL8" s="20" t="s">
        <v>10</v>
      </c>
      <c r="BM8" s="2">
        <v>23</v>
      </c>
      <c r="BN8" s="2">
        <v>23</v>
      </c>
      <c r="BO8" s="2">
        <v>23</v>
      </c>
    </row>
    <row r="9" spans="1:67">
      <c r="A9" s="37" t="s">
        <v>11</v>
      </c>
      <c r="B9" s="2">
        <v>0</v>
      </c>
      <c r="C9" s="2">
        <v>0</v>
      </c>
      <c r="D9" s="2">
        <v>0</v>
      </c>
      <c r="F9" s="20" t="s">
        <v>11</v>
      </c>
      <c r="G9" s="93">
        <f t="shared" si="1"/>
        <v>109</v>
      </c>
      <c r="H9" s="93">
        <f t="shared" si="2"/>
        <v>109</v>
      </c>
      <c r="I9" s="93">
        <f t="shared" si="3"/>
        <v>109</v>
      </c>
      <c r="K9" s="95" t="s">
        <v>11</v>
      </c>
      <c r="L9" s="92">
        <v>0</v>
      </c>
      <c r="M9" s="92">
        <v>0</v>
      </c>
      <c r="N9" s="92">
        <v>0</v>
      </c>
      <c r="O9" s="92">
        <v>0</v>
      </c>
      <c r="P9" s="92">
        <v>0</v>
      </c>
      <c r="Q9" s="92">
        <v>0</v>
      </c>
      <c r="R9" s="92">
        <v>0</v>
      </c>
      <c r="S9" s="92">
        <v>0</v>
      </c>
      <c r="T9" s="92">
        <v>0</v>
      </c>
      <c r="U9" s="92">
        <v>84</v>
      </c>
      <c r="V9" s="92">
        <v>84</v>
      </c>
      <c r="W9" s="92">
        <v>84</v>
      </c>
      <c r="X9" s="92">
        <v>25</v>
      </c>
      <c r="Y9" s="92">
        <v>25</v>
      </c>
      <c r="Z9" s="92">
        <v>25</v>
      </c>
      <c r="AB9" s="20" t="s">
        <v>11</v>
      </c>
      <c r="AC9" s="2">
        <v>0</v>
      </c>
      <c r="AD9" s="2">
        <v>0</v>
      </c>
      <c r="AE9" s="2">
        <v>0</v>
      </c>
      <c r="AG9" s="20" t="s">
        <v>11</v>
      </c>
      <c r="AH9" s="20" t="s">
        <v>48</v>
      </c>
      <c r="AI9" s="41">
        <v>0</v>
      </c>
      <c r="AJ9" s="41">
        <v>0</v>
      </c>
      <c r="AK9" s="41">
        <v>0</v>
      </c>
      <c r="AM9" s="20" t="s">
        <v>11</v>
      </c>
      <c r="AN9" s="20" t="s">
        <v>48</v>
      </c>
      <c r="AO9" s="1">
        <v>0</v>
      </c>
      <c r="AP9" s="1">
        <v>0</v>
      </c>
      <c r="AQ9" s="1">
        <v>0</v>
      </c>
      <c r="AS9" s="20" t="s">
        <v>12</v>
      </c>
      <c r="AT9" s="2">
        <v>0</v>
      </c>
      <c r="AV9" s="20" t="s">
        <v>12</v>
      </c>
      <c r="AW9" s="2">
        <v>0</v>
      </c>
      <c r="AY9" s="20" t="s">
        <v>11</v>
      </c>
      <c r="AZ9" s="2">
        <v>9</v>
      </c>
      <c r="BA9" s="2">
        <v>9</v>
      </c>
      <c r="BB9" s="2">
        <v>9</v>
      </c>
      <c r="BD9" s="20" t="s">
        <v>12</v>
      </c>
      <c r="BE9" s="2">
        <v>0</v>
      </c>
      <c r="BG9" s="20" t="s">
        <v>11</v>
      </c>
      <c r="BH9" s="2">
        <v>0</v>
      </c>
      <c r="BI9" s="2">
        <v>0</v>
      </c>
      <c r="BJ9" s="2">
        <v>0</v>
      </c>
      <c r="BL9" s="20" t="s">
        <v>11</v>
      </c>
      <c r="BM9" s="2">
        <v>0</v>
      </c>
      <c r="BN9" s="2">
        <v>0</v>
      </c>
      <c r="BO9" s="2">
        <v>0</v>
      </c>
    </row>
    <row r="10" spans="1:67">
      <c r="A10" s="37" t="s">
        <v>12</v>
      </c>
      <c r="B10" s="2">
        <v>0</v>
      </c>
      <c r="C10" s="2">
        <v>0</v>
      </c>
      <c r="D10" s="2">
        <v>0</v>
      </c>
      <c r="F10" s="20" t="s">
        <v>12</v>
      </c>
      <c r="G10" s="93">
        <f t="shared" si="1"/>
        <v>96</v>
      </c>
      <c r="H10" s="93">
        <f t="shared" si="2"/>
        <v>96</v>
      </c>
      <c r="I10" s="93">
        <f t="shared" si="3"/>
        <v>96</v>
      </c>
      <c r="K10" s="95" t="s">
        <v>12</v>
      </c>
      <c r="L10" s="92">
        <v>0</v>
      </c>
      <c r="M10" s="92">
        <v>0</v>
      </c>
      <c r="N10" s="92">
        <v>0</v>
      </c>
      <c r="O10" s="92">
        <v>0</v>
      </c>
      <c r="P10" s="92">
        <v>0</v>
      </c>
      <c r="Q10" s="92">
        <v>0</v>
      </c>
      <c r="R10" s="92">
        <v>0</v>
      </c>
      <c r="S10" s="92">
        <v>0</v>
      </c>
      <c r="T10" s="92">
        <v>0</v>
      </c>
      <c r="U10" s="92">
        <v>71</v>
      </c>
      <c r="V10" s="92">
        <v>71</v>
      </c>
      <c r="W10" s="92">
        <v>71</v>
      </c>
      <c r="X10" s="92">
        <v>25</v>
      </c>
      <c r="Y10" s="92">
        <v>25</v>
      </c>
      <c r="Z10" s="92">
        <v>25</v>
      </c>
      <c r="AB10" s="20" t="s">
        <v>12</v>
      </c>
      <c r="AC10" s="2">
        <v>0</v>
      </c>
      <c r="AD10" s="2">
        <v>0</v>
      </c>
      <c r="AE10" s="2">
        <v>0</v>
      </c>
      <c r="AG10" s="20" t="s">
        <v>12</v>
      </c>
      <c r="AH10" s="20" t="s">
        <v>48</v>
      </c>
      <c r="AI10" s="41">
        <v>0</v>
      </c>
      <c r="AJ10" s="41">
        <v>0</v>
      </c>
      <c r="AK10" s="41">
        <v>0</v>
      </c>
      <c r="AM10" s="20" t="s">
        <v>12</v>
      </c>
      <c r="AN10" s="20" t="s">
        <v>48</v>
      </c>
      <c r="AO10" s="1">
        <v>0</v>
      </c>
      <c r="AP10" s="1">
        <v>0</v>
      </c>
      <c r="AQ10" s="1">
        <v>0</v>
      </c>
      <c r="AS10" s="20" t="s">
        <v>13</v>
      </c>
      <c r="AT10" s="2">
        <v>0</v>
      </c>
      <c r="AV10" s="20" t="s">
        <v>13</v>
      </c>
      <c r="AW10" s="2">
        <v>0</v>
      </c>
      <c r="AY10" s="20" t="s">
        <v>12</v>
      </c>
      <c r="AZ10" s="2">
        <v>9</v>
      </c>
      <c r="BA10" s="2">
        <v>9</v>
      </c>
      <c r="BB10" s="2">
        <v>9</v>
      </c>
      <c r="BD10" s="20" t="s">
        <v>13</v>
      </c>
      <c r="BE10" s="2">
        <v>0</v>
      </c>
      <c r="BG10" s="20" t="s">
        <v>12</v>
      </c>
      <c r="BH10" s="2">
        <v>0</v>
      </c>
      <c r="BI10" s="2">
        <v>0</v>
      </c>
      <c r="BJ10" s="2">
        <v>0</v>
      </c>
      <c r="BL10" s="20" t="s">
        <v>12</v>
      </c>
      <c r="BM10" s="2">
        <v>0</v>
      </c>
      <c r="BN10" s="2">
        <v>0</v>
      </c>
      <c r="BO10" s="2">
        <v>0</v>
      </c>
    </row>
    <row r="11" spans="1:67">
      <c r="A11" s="37" t="s">
        <v>13</v>
      </c>
      <c r="B11" s="2">
        <v>0</v>
      </c>
      <c r="C11" s="2">
        <v>0</v>
      </c>
      <c r="D11" s="2">
        <v>0</v>
      </c>
      <c r="F11" s="20" t="s">
        <v>13</v>
      </c>
      <c r="G11" s="93">
        <f t="shared" si="1"/>
        <v>278.81</v>
      </c>
      <c r="H11" s="93">
        <f t="shared" si="2"/>
        <v>278.81</v>
      </c>
      <c r="I11" s="93">
        <f t="shared" si="3"/>
        <v>278.81</v>
      </c>
      <c r="K11" s="95" t="s">
        <v>13</v>
      </c>
      <c r="L11" s="92">
        <v>115.5</v>
      </c>
      <c r="M11" s="92">
        <v>115.5</v>
      </c>
      <c r="N11" s="92">
        <v>115.5</v>
      </c>
      <c r="O11" s="92">
        <v>32.159999999999997</v>
      </c>
      <c r="P11" s="92">
        <v>32.159999999999997</v>
      </c>
      <c r="Q11" s="92">
        <v>32.159999999999997</v>
      </c>
      <c r="R11" s="92">
        <v>35.15</v>
      </c>
      <c r="S11" s="92">
        <v>35.15</v>
      </c>
      <c r="T11" s="92">
        <v>35.15</v>
      </c>
      <c r="U11" s="92">
        <v>71</v>
      </c>
      <c r="V11" s="92">
        <v>71</v>
      </c>
      <c r="W11" s="92">
        <v>71</v>
      </c>
      <c r="X11" s="92">
        <v>25</v>
      </c>
      <c r="Y11" s="92">
        <v>25</v>
      </c>
      <c r="Z11" s="92">
        <v>25</v>
      </c>
      <c r="AB11" s="20" t="s">
        <v>13</v>
      </c>
      <c r="AC11" s="2">
        <v>0</v>
      </c>
      <c r="AD11" s="2">
        <v>0</v>
      </c>
      <c r="AE11" s="2">
        <v>0</v>
      </c>
      <c r="AG11" s="20" t="s">
        <v>5</v>
      </c>
      <c r="AH11" s="20" t="s">
        <v>48</v>
      </c>
      <c r="AI11" s="54">
        <v>116</v>
      </c>
      <c r="AJ11" s="54">
        <v>116</v>
      </c>
      <c r="AK11" s="54">
        <v>116</v>
      </c>
      <c r="AM11" s="20" t="s">
        <v>13</v>
      </c>
      <c r="AN11" s="20" t="s">
        <v>48</v>
      </c>
      <c r="AO11" s="1">
        <v>0</v>
      </c>
      <c r="AP11" s="1">
        <v>0</v>
      </c>
      <c r="AQ11" s="1">
        <v>0</v>
      </c>
      <c r="AS11" s="20" t="s">
        <v>14</v>
      </c>
      <c r="AT11" s="2">
        <v>0</v>
      </c>
      <c r="AV11" s="20" t="s">
        <v>14</v>
      </c>
      <c r="AW11" s="2">
        <v>0</v>
      </c>
      <c r="AY11" s="20" t="s">
        <v>13</v>
      </c>
      <c r="AZ11" s="2">
        <v>9</v>
      </c>
      <c r="BA11" s="2">
        <v>9</v>
      </c>
      <c r="BB11" s="2">
        <v>9</v>
      </c>
      <c r="BD11" s="20" t="s">
        <v>14</v>
      </c>
      <c r="BE11" s="2">
        <v>0</v>
      </c>
      <c r="BG11" s="20" t="s">
        <v>13</v>
      </c>
      <c r="BH11" s="2">
        <v>0</v>
      </c>
      <c r="BI11" s="2">
        <v>0</v>
      </c>
      <c r="BJ11" s="2">
        <v>0</v>
      </c>
      <c r="BL11" s="20" t="s">
        <v>13</v>
      </c>
      <c r="BM11" s="2">
        <v>0</v>
      </c>
      <c r="BN11" s="2">
        <v>0</v>
      </c>
      <c r="BO11" s="2">
        <v>0</v>
      </c>
    </row>
    <row r="12" spans="1:67">
      <c r="A12" s="37" t="s">
        <v>14</v>
      </c>
      <c r="B12" s="2">
        <v>0</v>
      </c>
      <c r="C12" s="2">
        <v>0</v>
      </c>
      <c r="D12" s="2">
        <v>0</v>
      </c>
      <c r="F12" s="20" t="s">
        <v>14</v>
      </c>
      <c r="G12" s="93">
        <f t="shared" si="1"/>
        <v>468.10500000000002</v>
      </c>
      <c r="H12" s="93">
        <f t="shared" si="2"/>
        <v>468.10500000000002</v>
      </c>
      <c r="I12" s="93">
        <f t="shared" si="3"/>
        <v>468.10500000000002</v>
      </c>
      <c r="K12" s="95" t="s">
        <v>14</v>
      </c>
      <c r="L12" s="92">
        <v>86.4</v>
      </c>
      <c r="M12" s="92">
        <v>86.4</v>
      </c>
      <c r="N12" s="92">
        <v>86.4</v>
      </c>
      <c r="O12" s="92">
        <v>74.004999999999995</v>
      </c>
      <c r="P12" s="92">
        <v>74.004999999999995</v>
      </c>
      <c r="Q12" s="92">
        <v>74.004999999999995</v>
      </c>
      <c r="R12" s="92">
        <v>142.19999999999999</v>
      </c>
      <c r="S12" s="92">
        <v>142.19999999999999</v>
      </c>
      <c r="T12" s="92">
        <v>142.19999999999999</v>
      </c>
      <c r="U12" s="92">
        <v>115.5</v>
      </c>
      <c r="V12" s="92">
        <v>115.5</v>
      </c>
      <c r="W12" s="92">
        <v>115.5</v>
      </c>
      <c r="X12" s="92">
        <v>50</v>
      </c>
      <c r="Y12" s="92">
        <v>50</v>
      </c>
      <c r="Z12" s="92">
        <v>50</v>
      </c>
      <c r="AB12" s="20" t="s">
        <v>14</v>
      </c>
      <c r="AC12" s="2">
        <v>0</v>
      </c>
      <c r="AD12" s="2">
        <v>0</v>
      </c>
      <c r="AE12" s="2">
        <v>0</v>
      </c>
      <c r="AG12" s="20" t="s">
        <v>14</v>
      </c>
      <c r="AH12" s="20" t="s">
        <v>48</v>
      </c>
      <c r="AI12" s="41">
        <v>0</v>
      </c>
      <c r="AJ12" s="41">
        <v>0</v>
      </c>
      <c r="AK12" s="41">
        <v>0</v>
      </c>
      <c r="AM12" s="20" t="s">
        <v>14</v>
      </c>
      <c r="AN12" s="20" t="s">
        <v>48</v>
      </c>
      <c r="AO12" s="1">
        <v>0</v>
      </c>
      <c r="AP12" s="1">
        <v>0</v>
      </c>
      <c r="AQ12" s="1">
        <v>0</v>
      </c>
      <c r="AS12" s="20" t="s">
        <v>15</v>
      </c>
      <c r="AT12" s="2">
        <v>1.4999999999999999E-2</v>
      </c>
      <c r="AV12" s="20" t="s">
        <v>15</v>
      </c>
      <c r="AW12" s="2">
        <v>0.7</v>
      </c>
      <c r="AY12" s="20" t="s">
        <v>14</v>
      </c>
      <c r="AZ12" s="2">
        <v>9</v>
      </c>
      <c r="BA12" s="2">
        <v>9</v>
      </c>
      <c r="BB12" s="2">
        <v>9</v>
      </c>
      <c r="BD12" s="20" t="s">
        <v>15</v>
      </c>
      <c r="BE12" s="2">
        <v>0.5</v>
      </c>
      <c r="BG12" s="20" t="s">
        <v>14</v>
      </c>
      <c r="BH12" s="2">
        <v>0</v>
      </c>
      <c r="BI12" s="2">
        <v>0</v>
      </c>
      <c r="BJ12" s="2">
        <v>0</v>
      </c>
      <c r="BL12" s="20" t="s">
        <v>14</v>
      </c>
      <c r="BM12" s="2">
        <v>0</v>
      </c>
      <c r="BN12" s="2">
        <v>0</v>
      </c>
      <c r="BO12" s="2">
        <v>0</v>
      </c>
    </row>
    <row r="13" spans="1:67">
      <c r="A13" s="37" t="s">
        <v>15</v>
      </c>
      <c r="B13" s="2">
        <v>190</v>
      </c>
      <c r="C13" s="2">
        <v>190</v>
      </c>
      <c r="D13" s="2">
        <v>190</v>
      </c>
      <c r="F13" s="20" t="s">
        <v>15</v>
      </c>
      <c r="G13" s="93">
        <f t="shared" si="1"/>
        <v>445.9773913043478</v>
      </c>
      <c r="H13" s="93">
        <f t="shared" si="2"/>
        <v>445.9773913043478</v>
      </c>
      <c r="I13" s="93">
        <f t="shared" si="3"/>
        <v>445.9773913043478</v>
      </c>
      <c r="K13" s="95" t="s">
        <v>15</v>
      </c>
      <c r="L13" s="92">
        <v>65.2173913043478</v>
      </c>
      <c r="M13" s="92">
        <v>65.2173913043478</v>
      </c>
      <c r="N13" s="92">
        <v>65.2173913043478</v>
      </c>
      <c r="O13" s="92">
        <v>78.16</v>
      </c>
      <c r="P13" s="92">
        <v>78.16</v>
      </c>
      <c r="Q13" s="92">
        <v>78.16</v>
      </c>
      <c r="R13" s="92">
        <v>172.10000000000002</v>
      </c>
      <c r="S13" s="92">
        <v>172.10000000000002</v>
      </c>
      <c r="T13" s="92">
        <v>172.10000000000002</v>
      </c>
      <c r="U13" s="92">
        <v>80.5</v>
      </c>
      <c r="V13" s="92">
        <v>80.5</v>
      </c>
      <c r="W13" s="92">
        <v>80.5</v>
      </c>
      <c r="X13" s="92">
        <v>50</v>
      </c>
      <c r="Y13" s="92">
        <v>50</v>
      </c>
      <c r="Z13" s="92">
        <v>50</v>
      </c>
      <c r="AB13" s="20" t="s">
        <v>15</v>
      </c>
      <c r="AC13" s="2">
        <v>80</v>
      </c>
      <c r="AD13" s="2">
        <v>80</v>
      </c>
      <c r="AE13" s="2">
        <v>80</v>
      </c>
      <c r="AG13" s="20" t="s">
        <v>16</v>
      </c>
      <c r="AH13" s="20" t="s">
        <v>48</v>
      </c>
      <c r="AI13" s="1">
        <v>232</v>
      </c>
      <c r="AJ13" s="54">
        <v>232</v>
      </c>
      <c r="AK13" s="54">
        <v>232</v>
      </c>
      <c r="AM13" s="20" t="s">
        <v>15</v>
      </c>
      <c r="AN13" s="20" t="s">
        <v>48</v>
      </c>
      <c r="AO13" s="1">
        <v>0</v>
      </c>
      <c r="AP13" s="1">
        <v>0</v>
      </c>
      <c r="AQ13" s="1">
        <v>0</v>
      </c>
      <c r="AS13" s="20" t="s">
        <v>16</v>
      </c>
      <c r="AT13" s="2">
        <v>1.4999999999999999E-2</v>
      </c>
      <c r="AV13" s="20" t="s">
        <v>16</v>
      </c>
      <c r="AW13" s="2">
        <v>0</v>
      </c>
      <c r="AY13" s="20" t="s">
        <v>15</v>
      </c>
      <c r="AZ13" s="2">
        <v>9</v>
      </c>
      <c r="BA13" s="2">
        <v>9</v>
      </c>
      <c r="BB13" s="2">
        <v>9</v>
      </c>
      <c r="BD13" s="20" t="s">
        <v>16</v>
      </c>
      <c r="BE13" s="2">
        <v>0.5</v>
      </c>
      <c r="BG13" s="20" t="s">
        <v>15</v>
      </c>
      <c r="BH13" s="2">
        <v>8</v>
      </c>
      <c r="BI13" s="2">
        <v>8</v>
      </c>
      <c r="BJ13" s="2">
        <v>8</v>
      </c>
      <c r="BL13" s="20" t="s">
        <v>15</v>
      </c>
      <c r="BM13" s="2">
        <v>23</v>
      </c>
      <c r="BN13" s="2">
        <v>23</v>
      </c>
      <c r="BO13" s="2">
        <v>23</v>
      </c>
    </row>
    <row r="14" spans="1:67">
      <c r="A14" s="37" t="s">
        <v>16</v>
      </c>
      <c r="B14" s="2">
        <v>181</v>
      </c>
      <c r="C14" s="2">
        <v>181</v>
      </c>
      <c r="D14" s="2">
        <v>181</v>
      </c>
      <c r="F14" s="20" t="s">
        <v>16</v>
      </c>
      <c r="G14" s="93">
        <f t="shared" si="1"/>
        <v>502.18769230769232</v>
      </c>
      <c r="H14" s="93">
        <f t="shared" si="2"/>
        <v>502.18769230769232</v>
      </c>
      <c r="I14" s="93">
        <f t="shared" si="3"/>
        <v>502.18769230769232</v>
      </c>
      <c r="K14" s="95" t="s">
        <v>16</v>
      </c>
      <c r="L14" s="92">
        <v>92.307692307692307</v>
      </c>
      <c r="M14" s="92">
        <v>92.307692307692307</v>
      </c>
      <c r="N14" s="92">
        <v>92.307692307692307</v>
      </c>
      <c r="O14" s="92">
        <v>67.38000000000001</v>
      </c>
      <c r="P14" s="92">
        <v>67.38000000000001</v>
      </c>
      <c r="Q14" s="92">
        <v>67.38000000000001</v>
      </c>
      <c r="R14" s="92">
        <v>219</v>
      </c>
      <c r="S14" s="92">
        <v>219</v>
      </c>
      <c r="T14" s="92">
        <v>219</v>
      </c>
      <c r="U14" s="92">
        <v>73.5</v>
      </c>
      <c r="V14" s="92">
        <v>73.5</v>
      </c>
      <c r="W14" s="92">
        <v>73.5</v>
      </c>
      <c r="X14" s="92">
        <v>50</v>
      </c>
      <c r="Y14" s="92">
        <v>50</v>
      </c>
      <c r="Z14" s="92">
        <v>50</v>
      </c>
      <c r="AB14" s="20" t="s">
        <v>16</v>
      </c>
      <c r="AC14" s="2">
        <v>90</v>
      </c>
      <c r="AD14" s="2">
        <v>90</v>
      </c>
      <c r="AE14" s="2">
        <v>90</v>
      </c>
      <c r="AG14" s="53" t="s">
        <v>19</v>
      </c>
      <c r="AH14" s="20" t="s">
        <v>48</v>
      </c>
      <c r="AI14" s="54">
        <v>232</v>
      </c>
      <c r="AJ14" s="54">
        <v>232</v>
      </c>
      <c r="AK14" s="54">
        <v>232</v>
      </c>
      <c r="AM14" s="20" t="s">
        <v>16</v>
      </c>
      <c r="AN14" s="20" t="s">
        <v>48</v>
      </c>
      <c r="AO14" s="1">
        <v>0</v>
      </c>
      <c r="AP14" s="1">
        <v>0</v>
      </c>
      <c r="AQ14" s="1">
        <v>0</v>
      </c>
      <c r="AS14" s="20" t="s">
        <v>17</v>
      </c>
      <c r="AT14" s="2">
        <v>1.4999999999999999E-2</v>
      </c>
      <c r="AV14" s="20" t="s">
        <v>17</v>
      </c>
      <c r="AW14" s="2">
        <v>0.3</v>
      </c>
      <c r="AY14" s="20" t="s">
        <v>16</v>
      </c>
      <c r="AZ14" s="2">
        <v>9</v>
      </c>
      <c r="BA14" s="2">
        <v>9</v>
      </c>
      <c r="BB14" s="2">
        <v>9</v>
      </c>
      <c r="BD14" s="20" t="s">
        <v>17</v>
      </c>
      <c r="BE14" s="2">
        <v>0.5</v>
      </c>
      <c r="BG14" s="20" t="s">
        <v>16</v>
      </c>
      <c r="BH14" s="2">
        <v>8</v>
      </c>
      <c r="BI14" s="2">
        <v>8</v>
      </c>
      <c r="BJ14" s="2">
        <v>8</v>
      </c>
      <c r="BL14" s="20" t="s">
        <v>16</v>
      </c>
      <c r="BM14" s="2">
        <v>12</v>
      </c>
      <c r="BN14" s="2">
        <v>12</v>
      </c>
      <c r="BO14" s="2">
        <v>12</v>
      </c>
    </row>
    <row r="15" spans="1:67">
      <c r="A15" s="37" t="s">
        <v>17</v>
      </c>
      <c r="B15" s="2">
        <v>332</v>
      </c>
      <c r="C15" s="2">
        <v>332</v>
      </c>
      <c r="D15" s="2">
        <v>332</v>
      </c>
      <c r="F15" s="20" t="s">
        <v>17</v>
      </c>
      <c r="G15" s="93">
        <f t="shared" si="1"/>
        <v>419.92</v>
      </c>
      <c r="H15" s="93">
        <f t="shared" si="2"/>
        <v>419.92</v>
      </c>
      <c r="I15" s="93">
        <f t="shared" si="3"/>
        <v>419.92</v>
      </c>
      <c r="K15" s="95" t="s">
        <v>17</v>
      </c>
      <c r="L15" s="92">
        <v>60</v>
      </c>
      <c r="M15" s="92">
        <v>60</v>
      </c>
      <c r="N15" s="92">
        <v>60</v>
      </c>
      <c r="O15" s="92">
        <v>124.92</v>
      </c>
      <c r="P15" s="92">
        <v>124.92</v>
      </c>
      <c r="Q15" s="92">
        <v>124.92</v>
      </c>
      <c r="R15" s="92">
        <v>103</v>
      </c>
      <c r="S15" s="92">
        <v>103</v>
      </c>
      <c r="T15" s="92">
        <v>103</v>
      </c>
      <c r="U15" s="92">
        <v>82</v>
      </c>
      <c r="V15" s="92">
        <v>82</v>
      </c>
      <c r="W15" s="92">
        <v>82</v>
      </c>
      <c r="X15" s="92">
        <v>50</v>
      </c>
      <c r="Y15" s="92">
        <v>50</v>
      </c>
      <c r="Z15" s="92">
        <v>50</v>
      </c>
      <c r="AB15" s="20" t="s">
        <v>17</v>
      </c>
      <c r="AC15" s="2">
        <v>80</v>
      </c>
      <c r="AD15" s="2">
        <v>80</v>
      </c>
      <c r="AE15" s="2">
        <v>80</v>
      </c>
      <c r="AG15" s="53" t="s">
        <v>20</v>
      </c>
      <c r="AH15" s="20" t="s">
        <v>48</v>
      </c>
      <c r="AI15" s="54">
        <v>116</v>
      </c>
      <c r="AJ15" s="54">
        <v>116</v>
      </c>
      <c r="AK15" s="54">
        <v>116</v>
      </c>
      <c r="AM15" s="20" t="s">
        <v>17</v>
      </c>
      <c r="AN15" s="20" t="s">
        <v>48</v>
      </c>
      <c r="AO15" s="1">
        <v>0</v>
      </c>
      <c r="AP15" s="1">
        <v>0</v>
      </c>
      <c r="AQ15" s="1">
        <v>0</v>
      </c>
      <c r="AS15" s="20" t="s">
        <v>18</v>
      </c>
      <c r="AT15" s="2">
        <v>1.4999999999999999E-2</v>
      </c>
      <c r="AV15" s="20" t="s">
        <v>18</v>
      </c>
      <c r="AW15" s="2">
        <v>0.4</v>
      </c>
      <c r="AY15" s="20" t="s">
        <v>17</v>
      </c>
      <c r="AZ15" s="2">
        <v>9</v>
      </c>
      <c r="BA15" s="2">
        <v>9</v>
      </c>
      <c r="BB15" s="2">
        <v>9</v>
      </c>
      <c r="BD15" s="20" t="s">
        <v>18</v>
      </c>
      <c r="BE15" s="2">
        <v>0.5</v>
      </c>
      <c r="BG15" s="20" t="s">
        <v>17</v>
      </c>
      <c r="BH15" s="2">
        <v>8</v>
      </c>
      <c r="BI15" s="2">
        <v>8</v>
      </c>
      <c r="BJ15" s="2">
        <v>8</v>
      </c>
      <c r="BL15" s="20" t="s">
        <v>17</v>
      </c>
      <c r="BM15" s="2">
        <v>23</v>
      </c>
      <c r="BN15" s="2">
        <v>23</v>
      </c>
      <c r="BO15" s="2">
        <v>23</v>
      </c>
    </row>
    <row r="16" spans="1:67">
      <c r="A16" s="37" t="s">
        <v>18</v>
      </c>
      <c r="B16" s="2">
        <v>332</v>
      </c>
      <c r="C16" s="2">
        <v>332</v>
      </c>
      <c r="D16" s="2">
        <v>332</v>
      </c>
      <c r="F16" s="20" t="s">
        <v>18</v>
      </c>
      <c r="G16" s="93">
        <f t="shared" si="1"/>
        <v>310.19600000000003</v>
      </c>
      <c r="H16" s="93">
        <f t="shared" si="2"/>
        <v>310.19600000000003</v>
      </c>
      <c r="I16" s="93">
        <f t="shared" si="3"/>
        <v>310.19600000000003</v>
      </c>
      <c r="K16" s="95" t="s">
        <v>18</v>
      </c>
      <c r="L16" s="92">
        <v>69.5</v>
      </c>
      <c r="M16" s="92">
        <v>69.5</v>
      </c>
      <c r="N16" s="92">
        <v>69.5</v>
      </c>
      <c r="O16" s="92">
        <v>67.295999999999992</v>
      </c>
      <c r="P16" s="92">
        <v>67.295999999999992</v>
      </c>
      <c r="Q16" s="92">
        <v>67.295999999999992</v>
      </c>
      <c r="R16" s="92">
        <v>82.4</v>
      </c>
      <c r="S16" s="92">
        <v>82.4</v>
      </c>
      <c r="T16" s="92">
        <v>82.4</v>
      </c>
      <c r="U16" s="92">
        <v>66</v>
      </c>
      <c r="V16" s="92">
        <v>66</v>
      </c>
      <c r="W16" s="92">
        <v>66</v>
      </c>
      <c r="X16" s="92">
        <v>25</v>
      </c>
      <c r="Y16" s="92">
        <v>25</v>
      </c>
      <c r="Z16" s="92">
        <v>25</v>
      </c>
      <c r="AB16" s="20" t="s">
        <v>18</v>
      </c>
      <c r="AC16" s="2">
        <v>80</v>
      </c>
      <c r="AD16" s="2">
        <v>80</v>
      </c>
      <c r="AE16" s="2">
        <v>80</v>
      </c>
      <c r="AG16" s="20" t="s">
        <v>8</v>
      </c>
      <c r="AH16" s="20" t="s">
        <v>48</v>
      </c>
      <c r="AI16" s="54">
        <v>116</v>
      </c>
      <c r="AJ16" s="54">
        <v>116</v>
      </c>
      <c r="AK16" s="54">
        <v>116</v>
      </c>
      <c r="AM16" s="20" t="s">
        <v>18</v>
      </c>
      <c r="AN16" s="20" t="s">
        <v>48</v>
      </c>
      <c r="AO16" s="1">
        <v>0</v>
      </c>
      <c r="AP16" s="1">
        <v>0</v>
      </c>
      <c r="AQ16" s="1">
        <v>0</v>
      </c>
      <c r="AS16" s="11" t="s">
        <v>19</v>
      </c>
      <c r="AT16" s="2">
        <v>1.4999999999999999E-2</v>
      </c>
      <c r="AV16" s="11" t="s">
        <v>19</v>
      </c>
      <c r="AW16" s="2">
        <v>0.5</v>
      </c>
      <c r="AY16" s="20" t="s">
        <v>18</v>
      </c>
      <c r="AZ16" s="2">
        <v>9</v>
      </c>
      <c r="BA16" s="2">
        <v>9</v>
      </c>
      <c r="BB16" s="2">
        <v>9</v>
      </c>
      <c r="BD16" s="11" t="s">
        <v>19</v>
      </c>
      <c r="BE16" s="2">
        <v>0.5</v>
      </c>
      <c r="BG16" s="20" t="s">
        <v>18</v>
      </c>
      <c r="BH16" s="2">
        <v>8</v>
      </c>
      <c r="BI16" s="2">
        <v>8</v>
      </c>
      <c r="BJ16" s="2">
        <v>8</v>
      </c>
      <c r="BL16" s="20" t="s">
        <v>18</v>
      </c>
      <c r="BM16" s="2">
        <v>23</v>
      </c>
      <c r="BN16" s="2">
        <v>23</v>
      </c>
      <c r="BO16" s="2">
        <v>23</v>
      </c>
    </row>
    <row r="17" spans="1:67">
      <c r="A17" s="36" t="s">
        <v>19</v>
      </c>
      <c r="B17" s="2">
        <v>185</v>
      </c>
      <c r="C17" s="2">
        <v>185</v>
      </c>
      <c r="D17" s="2">
        <v>185</v>
      </c>
      <c r="F17" s="11" t="s">
        <v>19</v>
      </c>
      <c r="G17" s="93">
        <f t="shared" si="1"/>
        <v>390.26034782608701</v>
      </c>
      <c r="H17" s="93">
        <f t="shared" si="2"/>
        <v>390.26034782608701</v>
      </c>
      <c r="I17" s="93">
        <f t="shared" si="3"/>
        <v>390.26034782608701</v>
      </c>
      <c r="K17" s="95" t="s">
        <v>19</v>
      </c>
      <c r="L17" s="92">
        <v>71.5</v>
      </c>
      <c r="M17" s="92">
        <v>71.5</v>
      </c>
      <c r="N17" s="92">
        <v>71.5</v>
      </c>
      <c r="O17" s="92">
        <v>70.856000000000009</v>
      </c>
      <c r="P17" s="92">
        <v>70.856000000000009</v>
      </c>
      <c r="Q17" s="92">
        <v>70.856000000000009</v>
      </c>
      <c r="R17" s="92">
        <v>156.6</v>
      </c>
      <c r="S17" s="92">
        <v>156.6</v>
      </c>
      <c r="T17" s="92">
        <v>156.6</v>
      </c>
      <c r="U17" s="92">
        <v>66.304347826086996</v>
      </c>
      <c r="V17" s="92">
        <v>66.304347826086996</v>
      </c>
      <c r="W17" s="92">
        <v>66.304347826086996</v>
      </c>
      <c r="X17" s="92">
        <v>25</v>
      </c>
      <c r="Y17" s="92">
        <v>25</v>
      </c>
      <c r="Z17" s="92">
        <v>25</v>
      </c>
      <c r="AB17" s="11" t="s">
        <v>19</v>
      </c>
      <c r="AC17" s="2">
        <v>90</v>
      </c>
      <c r="AD17" s="2">
        <v>90</v>
      </c>
      <c r="AE17" s="2">
        <v>90</v>
      </c>
      <c r="AG17" s="53" t="s">
        <v>85</v>
      </c>
      <c r="AH17" s="20" t="s">
        <v>48</v>
      </c>
      <c r="AI17" s="41">
        <v>0</v>
      </c>
      <c r="AJ17" s="41">
        <v>0</v>
      </c>
      <c r="AK17" s="41">
        <v>0</v>
      </c>
      <c r="AM17" s="53" t="s">
        <v>19</v>
      </c>
      <c r="AN17" s="20" t="s">
        <v>48</v>
      </c>
      <c r="AO17" s="1">
        <v>0</v>
      </c>
      <c r="AP17" s="1">
        <v>0</v>
      </c>
      <c r="AQ17" s="1">
        <v>0</v>
      </c>
      <c r="AS17" s="11" t="s">
        <v>20</v>
      </c>
      <c r="AT17" s="2">
        <v>1.4999999999999999E-2</v>
      </c>
      <c r="AV17" s="11" t="s">
        <v>20</v>
      </c>
      <c r="AW17" s="2">
        <v>0.5</v>
      </c>
      <c r="AY17" s="11" t="s">
        <v>19</v>
      </c>
      <c r="AZ17" s="2">
        <v>9</v>
      </c>
      <c r="BA17" s="2">
        <v>9</v>
      </c>
      <c r="BB17" s="2">
        <v>9</v>
      </c>
      <c r="BD17" s="11" t="s">
        <v>20</v>
      </c>
      <c r="BE17" s="2">
        <v>0.5</v>
      </c>
      <c r="BG17" s="11" t="s">
        <v>19</v>
      </c>
      <c r="BH17" s="2">
        <v>8</v>
      </c>
      <c r="BI17" s="2">
        <v>8</v>
      </c>
      <c r="BJ17" s="2">
        <v>8</v>
      </c>
      <c r="BL17" s="11" t="s">
        <v>19</v>
      </c>
      <c r="BM17" s="2">
        <v>12</v>
      </c>
      <c r="BN17" s="2">
        <v>12</v>
      </c>
      <c r="BO17" s="2">
        <v>12</v>
      </c>
    </row>
    <row r="18" spans="1:67">
      <c r="A18" s="36" t="s">
        <v>20</v>
      </c>
      <c r="B18" s="2">
        <v>185</v>
      </c>
      <c r="C18" s="2">
        <v>185</v>
      </c>
      <c r="D18" s="2">
        <v>185</v>
      </c>
      <c r="F18" s="11" t="s">
        <v>20</v>
      </c>
      <c r="G18" s="93">
        <f t="shared" si="1"/>
        <v>520.82557446808505</v>
      </c>
      <c r="H18" s="93">
        <f t="shared" si="2"/>
        <v>520.82557446808505</v>
      </c>
      <c r="I18" s="93">
        <f t="shared" si="3"/>
        <v>520.82557446808505</v>
      </c>
      <c r="K18" s="95" t="s">
        <v>20</v>
      </c>
      <c r="L18" s="92">
        <v>115.5</v>
      </c>
      <c r="M18" s="92">
        <v>115.5</v>
      </c>
      <c r="N18" s="92">
        <v>115.5</v>
      </c>
      <c r="O18" s="92">
        <v>73.665999999999997</v>
      </c>
      <c r="P18" s="92">
        <v>73.665999999999997</v>
      </c>
      <c r="Q18" s="92">
        <v>73.665999999999997</v>
      </c>
      <c r="R18" s="92">
        <v>209.65957446808511</v>
      </c>
      <c r="S18" s="92">
        <v>209.65957446808511</v>
      </c>
      <c r="T18" s="92">
        <v>209.65957446808511</v>
      </c>
      <c r="U18" s="92">
        <v>72</v>
      </c>
      <c r="V18" s="92">
        <v>72</v>
      </c>
      <c r="W18" s="92">
        <v>72</v>
      </c>
      <c r="X18" s="92">
        <v>50</v>
      </c>
      <c r="Y18" s="92">
        <v>50</v>
      </c>
      <c r="Z18" s="92">
        <v>50</v>
      </c>
      <c r="AB18" s="11" t="s">
        <v>20</v>
      </c>
      <c r="AC18" s="2">
        <v>90</v>
      </c>
      <c r="AD18" s="2">
        <v>90</v>
      </c>
      <c r="AE18" s="2">
        <v>90</v>
      </c>
      <c r="AG18" s="20" t="s">
        <v>17</v>
      </c>
      <c r="AH18" s="20" t="s">
        <v>48</v>
      </c>
      <c r="AI18" s="54">
        <v>232</v>
      </c>
      <c r="AJ18" s="54">
        <v>232</v>
      </c>
      <c r="AK18" s="54">
        <v>232</v>
      </c>
      <c r="AM18" s="53" t="s">
        <v>20</v>
      </c>
      <c r="AN18" s="20" t="s">
        <v>48</v>
      </c>
      <c r="AO18" s="1">
        <v>0</v>
      </c>
      <c r="AP18" s="1">
        <v>0</v>
      </c>
      <c r="AQ18" s="1">
        <v>0</v>
      </c>
      <c r="AS18" s="11" t="s">
        <v>84</v>
      </c>
      <c r="AT18" s="2">
        <v>0</v>
      </c>
      <c r="AV18" s="11" t="s">
        <v>84</v>
      </c>
      <c r="AW18" s="2">
        <v>0</v>
      </c>
      <c r="AY18" s="11" t="s">
        <v>20</v>
      </c>
      <c r="AZ18" s="2">
        <v>9</v>
      </c>
      <c r="BA18" s="2">
        <v>9</v>
      </c>
      <c r="BB18" s="2">
        <v>9</v>
      </c>
      <c r="BD18" s="11" t="s">
        <v>84</v>
      </c>
      <c r="BE18" s="2">
        <v>0</v>
      </c>
      <c r="BG18" s="11" t="s">
        <v>20</v>
      </c>
      <c r="BH18" s="2">
        <v>8</v>
      </c>
      <c r="BI18" s="2">
        <v>8</v>
      </c>
      <c r="BJ18" s="2">
        <v>8</v>
      </c>
      <c r="BL18" s="11" t="s">
        <v>20</v>
      </c>
      <c r="BM18" s="2">
        <v>12</v>
      </c>
      <c r="BN18" s="2">
        <v>12</v>
      </c>
      <c r="BO18" s="2">
        <v>12</v>
      </c>
    </row>
    <row r="19" spans="1:67">
      <c r="A19" s="36" t="s">
        <v>84</v>
      </c>
      <c r="B19" s="42">
        <v>0</v>
      </c>
      <c r="C19" s="42">
        <v>0</v>
      </c>
      <c r="D19" s="42">
        <v>0</v>
      </c>
      <c r="F19" s="69" t="s">
        <v>84</v>
      </c>
      <c r="G19" s="93">
        <f t="shared" si="1"/>
        <v>39.962111801242237</v>
      </c>
      <c r="H19" s="93">
        <f t="shared" si="2"/>
        <v>39.962111801242237</v>
      </c>
      <c r="I19" s="93">
        <f t="shared" si="3"/>
        <v>39.962111801242237</v>
      </c>
      <c r="K19" s="95" t="s">
        <v>84</v>
      </c>
      <c r="L19" s="92">
        <v>0</v>
      </c>
      <c r="M19" s="92">
        <v>0</v>
      </c>
      <c r="N19" s="92">
        <v>0</v>
      </c>
      <c r="O19" s="92">
        <v>0</v>
      </c>
      <c r="P19" s="92">
        <v>0</v>
      </c>
      <c r="Q19" s="92">
        <v>0</v>
      </c>
      <c r="R19" s="92">
        <v>0</v>
      </c>
      <c r="S19" s="92">
        <v>0</v>
      </c>
      <c r="T19" s="92">
        <v>0</v>
      </c>
      <c r="U19" s="92">
        <v>39.962111801242237</v>
      </c>
      <c r="V19" s="92">
        <v>39.962111801242237</v>
      </c>
      <c r="W19" s="92">
        <v>39.962111801242237</v>
      </c>
      <c r="X19" s="92">
        <v>0</v>
      </c>
      <c r="Y19" s="92">
        <v>0</v>
      </c>
      <c r="Z19" s="92">
        <v>0</v>
      </c>
      <c r="AB19" s="11" t="s">
        <v>84</v>
      </c>
      <c r="AC19" s="42">
        <v>0</v>
      </c>
      <c r="AD19" s="42">
        <v>0</v>
      </c>
      <c r="AE19" s="42">
        <v>0</v>
      </c>
      <c r="AG19" s="20" t="s">
        <v>18</v>
      </c>
      <c r="AH19" s="20" t="s">
        <v>48</v>
      </c>
      <c r="AI19" s="54">
        <v>116</v>
      </c>
      <c r="AJ19" s="54">
        <v>116</v>
      </c>
      <c r="AK19" s="54">
        <v>116</v>
      </c>
      <c r="AM19" s="53" t="s">
        <v>84</v>
      </c>
      <c r="AN19" s="20" t="s">
        <v>48</v>
      </c>
      <c r="AO19" s="47">
        <v>0</v>
      </c>
      <c r="AP19" s="47">
        <v>0</v>
      </c>
      <c r="AQ19" s="47">
        <v>0</v>
      </c>
      <c r="AS19" s="11" t="s">
        <v>85</v>
      </c>
      <c r="AT19" s="2">
        <v>0</v>
      </c>
      <c r="AV19" s="11" t="s">
        <v>85</v>
      </c>
      <c r="AW19" s="2">
        <v>0</v>
      </c>
      <c r="AY19" s="11" t="s">
        <v>84</v>
      </c>
      <c r="AZ19" s="2">
        <v>9</v>
      </c>
      <c r="BA19" s="2">
        <v>9</v>
      </c>
      <c r="BB19" s="2">
        <v>9</v>
      </c>
      <c r="BD19" s="11" t="s">
        <v>85</v>
      </c>
      <c r="BE19" s="2">
        <v>0</v>
      </c>
      <c r="BG19" s="11" t="s">
        <v>84</v>
      </c>
      <c r="BH19" s="2">
        <v>0</v>
      </c>
      <c r="BI19" s="2">
        <v>0</v>
      </c>
      <c r="BJ19" s="2">
        <v>0</v>
      </c>
      <c r="BL19" s="11" t="s">
        <v>84</v>
      </c>
      <c r="BM19" s="2">
        <v>0</v>
      </c>
      <c r="BN19" s="2">
        <v>0</v>
      </c>
      <c r="BO19" s="2">
        <v>0</v>
      </c>
    </row>
    <row r="20" spans="1:67">
      <c r="A20" s="36" t="s">
        <v>85</v>
      </c>
      <c r="B20" s="42">
        <v>0</v>
      </c>
      <c r="C20" s="42">
        <v>0</v>
      </c>
      <c r="D20" s="42">
        <v>0</v>
      </c>
      <c r="F20" s="69" t="s">
        <v>85</v>
      </c>
      <c r="G20" s="93">
        <f t="shared" si="1"/>
        <v>288.14300000000003</v>
      </c>
      <c r="H20" s="93">
        <f t="shared" si="2"/>
        <v>288.14300000000003</v>
      </c>
      <c r="I20" s="93">
        <f t="shared" si="3"/>
        <v>288.14300000000003</v>
      </c>
      <c r="K20" s="95" t="s">
        <v>85</v>
      </c>
      <c r="L20" s="92">
        <v>21.25</v>
      </c>
      <c r="M20" s="92">
        <v>21.25</v>
      </c>
      <c r="N20" s="92">
        <v>21.25</v>
      </c>
      <c r="O20" s="92">
        <v>29.292999999999999</v>
      </c>
      <c r="P20" s="92">
        <v>29.292999999999999</v>
      </c>
      <c r="Q20" s="92">
        <v>29.292999999999999</v>
      </c>
      <c r="R20" s="92">
        <v>172.10000000000002</v>
      </c>
      <c r="S20" s="92">
        <v>172.10000000000002</v>
      </c>
      <c r="T20" s="92">
        <v>172.10000000000002</v>
      </c>
      <c r="U20" s="92">
        <v>65.5</v>
      </c>
      <c r="V20" s="92">
        <v>65.5</v>
      </c>
      <c r="W20" s="92">
        <v>65.5</v>
      </c>
      <c r="X20" s="92">
        <v>0</v>
      </c>
      <c r="Y20" s="92">
        <v>0</v>
      </c>
      <c r="Z20" s="92">
        <v>0</v>
      </c>
      <c r="AB20" s="11" t="s">
        <v>85</v>
      </c>
      <c r="AC20" s="42">
        <v>0</v>
      </c>
      <c r="AD20" s="42">
        <v>0</v>
      </c>
      <c r="AE20" s="42">
        <v>0</v>
      </c>
      <c r="AG20" s="20" t="s">
        <v>15</v>
      </c>
      <c r="AH20" s="20" t="s">
        <v>48</v>
      </c>
      <c r="AI20" s="54">
        <v>232</v>
      </c>
      <c r="AJ20" s="54">
        <v>232</v>
      </c>
      <c r="AK20" s="54">
        <v>232</v>
      </c>
      <c r="AM20" s="53" t="s">
        <v>85</v>
      </c>
      <c r="AN20" s="20" t="s">
        <v>48</v>
      </c>
      <c r="AO20" s="47">
        <v>0</v>
      </c>
      <c r="AP20" s="47">
        <v>0</v>
      </c>
      <c r="AQ20" s="47">
        <v>0</v>
      </c>
      <c r="AS20" s="11" t="s">
        <v>146</v>
      </c>
      <c r="AT20" s="2">
        <v>1.4999999999999999E-2</v>
      </c>
      <c r="AV20" s="11" t="s">
        <v>146</v>
      </c>
      <c r="AW20" s="2">
        <v>0</v>
      </c>
      <c r="AY20" s="11" t="s">
        <v>85</v>
      </c>
      <c r="AZ20" s="2">
        <v>9</v>
      </c>
      <c r="BA20" s="2">
        <v>9</v>
      </c>
      <c r="BB20" s="2">
        <v>9</v>
      </c>
      <c r="BD20" s="11" t="s">
        <v>146</v>
      </c>
      <c r="BE20" s="2">
        <v>1</v>
      </c>
      <c r="BG20" s="11" t="s">
        <v>85</v>
      </c>
      <c r="BH20" s="2">
        <v>0</v>
      </c>
      <c r="BI20" s="2">
        <v>0</v>
      </c>
      <c r="BJ20" s="2">
        <v>0</v>
      </c>
      <c r="BL20" s="11" t="s">
        <v>85</v>
      </c>
      <c r="BM20" s="2">
        <v>0</v>
      </c>
      <c r="BN20" s="2">
        <v>0</v>
      </c>
      <c r="BO20" s="2">
        <v>0</v>
      </c>
    </row>
    <row r="21" spans="1:67">
      <c r="A21" s="36" t="s">
        <v>146</v>
      </c>
      <c r="B21" s="2">
        <v>1300</v>
      </c>
      <c r="C21" s="2">
        <v>1300</v>
      </c>
      <c r="D21" s="2">
        <v>1300</v>
      </c>
      <c r="F21" s="69" t="s">
        <v>146</v>
      </c>
      <c r="G21" s="93">
        <f t="shared" si="1"/>
        <v>194.18</v>
      </c>
      <c r="H21" s="93">
        <f t="shared" si="2"/>
        <v>194.18</v>
      </c>
      <c r="I21" s="93">
        <f t="shared" si="3"/>
        <v>194.18</v>
      </c>
      <c r="K21" s="94" t="s">
        <v>146</v>
      </c>
      <c r="L21" s="92">
        <v>55</v>
      </c>
      <c r="M21" s="92">
        <v>55</v>
      </c>
      <c r="N21" s="92">
        <v>55</v>
      </c>
      <c r="O21" s="92">
        <v>21.68</v>
      </c>
      <c r="P21" s="92">
        <v>21.68</v>
      </c>
      <c r="Q21" s="92">
        <v>21.68</v>
      </c>
      <c r="R21" s="92">
        <v>51.5</v>
      </c>
      <c r="S21" s="92">
        <v>51.5</v>
      </c>
      <c r="T21" s="92">
        <v>51.5</v>
      </c>
      <c r="U21" s="92">
        <v>66</v>
      </c>
      <c r="V21" s="92">
        <v>66</v>
      </c>
      <c r="W21" s="92">
        <v>66</v>
      </c>
      <c r="X21" s="92">
        <v>0</v>
      </c>
      <c r="Y21" s="92">
        <v>0</v>
      </c>
      <c r="Z21" s="92">
        <v>0</v>
      </c>
      <c r="AB21" s="11" t="s">
        <v>146</v>
      </c>
      <c r="AC21" s="2">
        <v>80</v>
      </c>
      <c r="AD21" s="2">
        <v>80</v>
      </c>
      <c r="AE21" s="2">
        <v>80</v>
      </c>
      <c r="AG21" s="20" t="s">
        <v>9</v>
      </c>
      <c r="AH21" s="20" t="s">
        <v>48</v>
      </c>
      <c r="AI21" s="54">
        <v>116</v>
      </c>
      <c r="AJ21" s="54">
        <v>116</v>
      </c>
      <c r="AK21" s="54">
        <v>116</v>
      </c>
      <c r="AM21" s="53" t="s">
        <v>146</v>
      </c>
      <c r="AN21" s="20" t="s">
        <v>48</v>
      </c>
      <c r="AO21" s="47">
        <v>0</v>
      </c>
      <c r="AP21" s="47">
        <v>0</v>
      </c>
      <c r="AQ21" s="47">
        <v>0</v>
      </c>
      <c r="AS21" s="11" t="s">
        <v>21</v>
      </c>
      <c r="AT21" s="2">
        <v>0</v>
      </c>
      <c r="AV21" s="11" t="s">
        <v>21</v>
      </c>
      <c r="AW21" s="2">
        <v>0</v>
      </c>
      <c r="AY21" s="11" t="s">
        <v>146</v>
      </c>
      <c r="AZ21" s="2">
        <v>9</v>
      </c>
      <c r="BA21" s="2">
        <v>9</v>
      </c>
      <c r="BB21" s="2">
        <v>9</v>
      </c>
      <c r="BD21" s="11" t="s">
        <v>21</v>
      </c>
      <c r="BE21" s="2">
        <v>0</v>
      </c>
      <c r="BG21" s="11" t="s">
        <v>146</v>
      </c>
      <c r="BH21" s="2">
        <v>8</v>
      </c>
      <c r="BI21" s="2">
        <v>8</v>
      </c>
      <c r="BJ21" s="2">
        <v>8</v>
      </c>
      <c r="BL21" s="11" t="s">
        <v>146</v>
      </c>
      <c r="BM21" s="2">
        <v>0</v>
      </c>
      <c r="BN21" s="2">
        <v>0</v>
      </c>
      <c r="BO21" s="2">
        <v>0</v>
      </c>
    </row>
    <row r="22" spans="1:67">
      <c r="A22" s="36" t="s">
        <v>21</v>
      </c>
      <c r="B22" s="2">
        <v>0</v>
      </c>
      <c r="C22" s="2">
        <v>0</v>
      </c>
      <c r="D22" s="2">
        <v>0</v>
      </c>
      <c r="F22" s="11" t="s">
        <v>21</v>
      </c>
      <c r="G22" s="93">
        <f t="shared" si="1"/>
        <v>0</v>
      </c>
      <c r="H22" s="93">
        <f t="shared" si="2"/>
        <v>0</v>
      </c>
      <c r="I22" s="93">
        <f t="shared" si="3"/>
        <v>0</v>
      </c>
      <c r="K22" s="94" t="s">
        <v>21</v>
      </c>
      <c r="L22" s="92">
        <v>0</v>
      </c>
      <c r="M22" s="92">
        <v>0</v>
      </c>
      <c r="N22" s="92">
        <v>0</v>
      </c>
      <c r="O22" s="92">
        <v>0</v>
      </c>
      <c r="P22" s="92">
        <v>0</v>
      </c>
      <c r="Q22" s="92">
        <v>0</v>
      </c>
      <c r="R22" s="92">
        <v>0</v>
      </c>
      <c r="S22" s="92">
        <v>0</v>
      </c>
      <c r="T22" s="92">
        <v>0</v>
      </c>
      <c r="U22" s="92">
        <v>0</v>
      </c>
      <c r="V22" s="92">
        <v>0</v>
      </c>
      <c r="W22" s="92">
        <v>0</v>
      </c>
      <c r="X22" s="92">
        <v>0</v>
      </c>
      <c r="Y22" s="92">
        <v>0</v>
      </c>
      <c r="Z22" s="92">
        <v>0</v>
      </c>
      <c r="AB22" s="11" t="s">
        <v>21</v>
      </c>
      <c r="AC22" s="2">
        <v>0</v>
      </c>
      <c r="AD22" s="2">
        <v>0</v>
      </c>
      <c r="AE22" s="2">
        <v>0</v>
      </c>
      <c r="AG22" s="53" t="s">
        <v>146</v>
      </c>
      <c r="AH22" s="20" t="s">
        <v>48</v>
      </c>
      <c r="AI22" s="54">
        <v>116</v>
      </c>
      <c r="AJ22" s="54">
        <v>116</v>
      </c>
      <c r="AK22" s="54">
        <v>116</v>
      </c>
      <c r="AM22" s="53" t="s">
        <v>21</v>
      </c>
      <c r="AN22" s="20" t="s">
        <v>48</v>
      </c>
      <c r="AO22" s="47">
        <v>0</v>
      </c>
      <c r="AP22" s="47">
        <v>0</v>
      </c>
      <c r="AQ22" s="47">
        <v>0</v>
      </c>
      <c r="AY22" s="11" t="s">
        <v>21</v>
      </c>
      <c r="AZ22" s="2">
        <v>9</v>
      </c>
      <c r="BA22" s="2">
        <v>9</v>
      </c>
      <c r="BB22" s="2">
        <v>9</v>
      </c>
      <c r="BG22" s="11" t="s">
        <v>21</v>
      </c>
      <c r="BH22" s="2">
        <v>0</v>
      </c>
      <c r="BI22" s="2">
        <v>0</v>
      </c>
      <c r="BJ22" s="2">
        <v>0</v>
      </c>
      <c r="BL22" s="11" t="s">
        <v>21</v>
      </c>
      <c r="BM22" s="2">
        <v>0</v>
      </c>
      <c r="BN22" s="2">
        <v>0</v>
      </c>
      <c r="BO22" s="2">
        <v>0</v>
      </c>
    </row>
    <row r="23" spans="1:67">
      <c r="AG23" s="20" t="s">
        <v>13</v>
      </c>
      <c r="AH23" s="20" t="s">
        <v>49</v>
      </c>
      <c r="AI23" s="41">
        <v>0</v>
      </c>
      <c r="AJ23" s="41">
        <v>0</v>
      </c>
      <c r="AK23" s="41">
        <v>0</v>
      </c>
      <c r="AM23" s="20" t="s">
        <v>5</v>
      </c>
      <c r="AN23" s="20" t="s">
        <v>49</v>
      </c>
      <c r="AO23" s="1">
        <v>0</v>
      </c>
      <c r="AP23" s="1">
        <v>0</v>
      </c>
      <c r="AQ23" s="1">
        <v>0</v>
      </c>
    </row>
    <row r="24" spans="1:67">
      <c r="AG24" s="20" t="s">
        <v>7</v>
      </c>
      <c r="AH24" s="20" t="s">
        <v>49</v>
      </c>
      <c r="AI24" s="54">
        <v>116</v>
      </c>
      <c r="AJ24" s="54">
        <v>116</v>
      </c>
      <c r="AK24" s="54">
        <v>116</v>
      </c>
      <c r="AM24" s="20" t="s">
        <v>6</v>
      </c>
      <c r="AN24" s="20" t="s">
        <v>49</v>
      </c>
      <c r="AO24" s="1">
        <v>0</v>
      </c>
      <c r="AP24" s="1">
        <v>0</v>
      </c>
      <c r="AQ24" s="1">
        <v>0</v>
      </c>
    </row>
    <row r="25" spans="1:67">
      <c r="AG25" s="53" t="s">
        <v>84</v>
      </c>
      <c r="AH25" s="20" t="s">
        <v>49</v>
      </c>
      <c r="AI25" s="41">
        <v>0</v>
      </c>
      <c r="AJ25" s="41">
        <v>0</v>
      </c>
      <c r="AK25" s="41">
        <v>0</v>
      </c>
      <c r="AM25" s="20" t="s">
        <v>7</v>
      </c>
      <c r="AN25" s="20" t="s">
        <v>49</v>
      </c>
      <c r="AO25" s="1">
        <v>0</v>
      </c>
      <c r="AP25" s="1">
        <v>0</v>
      </c>
      <c r="AQ25" s="1">
        <v>0</v>
      </c>
    </row>
    <row r="26" spans="1:67">
      <c r="AG26" s="53" t="s">
        <v>21</v>
      </c>
      <c r="AH26" s="20" t="s">
        <v>49</v>
      </c>
      <c r="AI26" s="41">
        <v>0</v>
      </c>
      <c r="AJ26" s="41">
        <v>0</v>
      </c>
      <c r="AK26" s="41">
        <v>0</v>
      </c>
      <c r="AM26" s="20" t="s">
        <v>8</v>
      </c>
      <c r="AN26" s="20" t="s">
        <v>49</v>
      </c>
      <c r="AO26" s="1">
        <v>0</v>
      </c>
      <c r="AP26" s="1">
        <v>0</v>
      </c>
      <c r="AQ26" s="1">
        <v>0</v>
      </c>
    </row>
    <row r="27" spans="1:67">
      <c r="AG27" s="20" t="s">
        <v>10</v>
      </c>
      <c r="AH27" s="20" t="s">
        <v>49</v>
      </c>
      <c r="AI27" s="61">
        <v>116</v>
      </c>
      <c r="AJ27" s="61">
        <v>116</v>
      </c>
      <c r="AK27" s="61">
        <v>116</v>
      </c>
      <c r="AM27" s="20" t="s">
        <v>9</v>
      </c>
      <c r="AN27" s="20" t="s">
        <v>49</v>
      </c>
      <c r="AO27" s="1">
        <v>0</v>
      </c>
      <c r="AP27" s="1">
        <v>0</v>
      </c>
      <c r="AQ27" s="1">
        <v>0</v>
      </c>
    </row>
    <row r="28" spans="1:67">
      <c r="AG28" s="20" t="s">
        <v>6</v>
      </c>
      <c r="AH28" s="20" t="s">
        <v>49</v>
      </c>
      <c r="AI28" s="54">
        <v>116</v>
      </c>
      <c r="AJ28" s="54">
        <v>116</v>
      </c>
      <c r="AK28" s="54">
        <v>116</v>
      </c>
      <c r="AM28" s="20" t="s">
        <v>10</v>
      </c>
      <c r="AN28" s="20" t="s">
        <v>49</v>
      </c>
      <c r="AO28" s="1">
        <v>0</v>
      </c>
      <c r="AP28" s="1">
        <v>0</v>
      </c>
      <c r="AQ28" s="1">
        <v>0</v>
      </c>
    </row>
    <row r="29" spans="1:67">
      <c r="AG29" s="20" t="s">
        <v>11</v>
      </c>
      <c r="AH29" s="20" t="s">
        <v>49</v>
      </c>
      <c r="AI29" s="41">
        <v>0</v>
      </c>
      <c r="AJ29" s="41">
        <v>0</v>
      </c>
      <c r="AK29" s="41">
        <v>0</v>
      </c>
      <c r="AM29" s="20" t="s">
        <v>11</v>
      </c>
      <c r="AN29" s="20" t="s">
        <v>49</v>
      </c>
      <c r="AO29" s="1">
        <v>0</v>
      </c>
      <c r="AP29" s="1">
        <v>0</v>
      </c>
      <c r="AQ29" s="1">
        <v>0</v>
      </c>
    </row>
    <row r="30" spans="1:67">
      <c r="AG30" s="20" t="s">
        <v>12</v>
      </c>
      <c r="AH30" s="20" t="s">
        <v>49</v>
      </c>
      <c r="AI30" s="41">
        <v>0</v>
      </c>
      <c r="AJ30" s="41">
        <v>0</v>
      </c>
      <c r="AK30" s="41">
        <v>0</v>
      </c>
      <c r="AM30" s="20" t="s">
        <v>12</v>
      </c>
      <c r="AN30" s="20" t="s">
        <v>49</v>
      </c>
      <c r="AO30" s="1">
        <v>0</v>
      </c>
      <c r="AP30" s="1">
        <v>0</v>
      </c>
      <c r="AQ30" s="1">
        <v>0</v>
      </c>
    </row>
    <row r="31" spans="1:67">
      <c r="AG31" s="20" t="s">
        <v>5</v>
      </c>
      <c r="AH31" s="20" t="s">
        <v>49</v>
      </c>
      <c r="AI31" s="54">
        <v>116</v>
      </c>
      <c r="AJ31" s="54">
        <v>116</v>
      </c>
      <c r="AK31" s="54">
        <v>116</v>
      </c>
      <c r="AM31" s="20" t="s">
        <v>13</v>
      </c>
      <c r="AN31" s="20" t="s">
        <v>49</v>
      </c>
      <c r="AO31" s="1">
        <v>0</v>
      </c>
      <c r="AP31" s="1">
        <v>0</v>
      </c>
      <c r="AQ31" s="1">
        <v>0</v>
      </c>
    </row>
    <row r="32" spans="1:67">
      <c r="AG32" s="20" t="s">
        <v>14</v>
      </c>
      <c r="AH32" s="20" t="s">
        <v>49</v>
      </c>
      <c r="AI32" s="41">
        <v>0</v>
      </c>
      <c r="AJ32" s="41">
        <v>0</v>
      </c>
      <c r="AK32" s="41">
        <v>0</v>
      </c>
      <c r="AM32" s="20" t="s">
        <v>14</v>
      </c>
      <c r="AN32" s="20" t="s">
        <v>49</v>
      </c>
      <c r="AO32" s="1">
        <v>0</v>
      </c>
      <c r="AP32" s="1">
        <v>0</v>
      </c>
      <c r="AQ32" s="1">
        <v>0</v>
      </c>
    </row>
    <row r="33" spans="33:43">
      <c r="AG33" s="20" t="s">
        <v>16</v>
      </c>
      <c r="AH33" s="20" t="s">
        <v>49</v>
      </c>
      <c r="AI33" s="54">
        <v>232</v>
      </c>
      <c r="AJ33" s="54">
        <v>232</v>
      </c>
      <c r="AK33" s="54">
        <v>232</v>
      </c>
      <c r="AM33" s="20" t="s">
        <v>15</v>
      </c>
      <c r="AN33" s="20" t="s">
        <v>49</v>
      </c>
      <c r="AO33" s="1">
        <v>0</v>
      </c>
      <c r="AP33" s="1">
        <v>0</v>
      </c>
      <c r="AQ33" s="1">
        <v>0</v>
      </c>
    </row>
    <row r="34" spans="33:43">
      <c r="AG34" s="53" t="s">
        <v>19</v>
      </c>
      <c r="AH34" s="20" t="s">
        <v>49</v>
      </c>
      <c r="AI34" s="54">
        <v>232</v>
      </c>
      <c r="AJ34" s="54">
        <v>232</v>
      </c>
      <c r="AK34" s="54">
        <v>232</v>
      </c>
      <c r="AM34" s="20" t="s">
        <v>16</v>
      </c>
      <c r="AN34" s="20" t="s">
        <v>49</v>
      </c>
      <c r="AO34" s="1">
        <v>0</v>
      </c>
      <c r="AP34" s="1">
        <v>0</v>
      </c>
      <c r="AQ34" s="1">
        <v>0</v>
      </c>
    </row>
    <row r="35" spans="33:43">
      <c r="AG35" s="53" t="s">
        <v>20</v>
      </c>
      <c r="AH35" s="20" t="s">
        <v>49</v>
      </c>
      <c r="AI35" s="54">
        <v>116</v>
      </c>
      <c r="AJ35" s="54">
        <v>116</v>
      </c>
      <c r="AK35" s="54">
        <v>116</v>
      </c>
      <c r="AM35" s="20" t="s">
        <v>17</v>
      </c>
      <c r="AN35" s="20" t="s">
        <v>49</v>
      </c>
      <c r="AO35" s="1">
        <v>0</v>
      </c>
      <c r="AP35" s="1">
        <v>0</v>
      </c>
      <c r="AQ35" s="1">
        <v>0</v>
      </c>
    </row>
    <row r="36" spans="33:43">
      <c r="AG36" s="20" t="s">
        <v>8</v>
      </c>
      <c r="AH36" s="20" t="s">
        <v>49</v>
      </c>
      <c r="AI36" s="54">
        <v>116</v>
      </c>
      <c r="AJ36" s="54">
        <v>116</v>
      </c>
      <c r="AK36" s="54">
        <v>116</v>
      </c>
      <c r="AM36" s="20" t="s">
        <v>18</v>
      </c>
      <c r="AN36" s="20" t="s">
        <v>49</v>
      </c>
      <c r="AO36" s="1">
        <v>0</v>
      </c>
      <c r="AP36" s="1">
        <v>0</v>
      </c>
      <c r="AQ36" s="1">
        <v>0</v>
      </c>
    </row>
    <row r="37" spans="33:43">
      <c r="AG37" s="53" t="s">
        <v>85</v>
      </c>
      <c r="AH37" s="20" t="s">
        <v>49</v>
      </c>
      <c r="AI37" s="41">
        <v>0</v>
      </c>
      <c r="AJ37" s="41">
        <v>0</v>
      </c>
      <c r="AK37" s="41">
        <v>0</v>
      </c>
      <c r="AM37" s="53" t="s">
        <v>19</v>
      </c>
      <c r="AN37" s="20" t="s">
        <v>49</v>
      </c>
      <c r="AO37" s="1">
        <v>0</v>
      </c>
      <c r="AP37" s="1">
        <v>0</v>
      </c>
      <c r="AQ37" s="1">
        <v>0</v>
      </c>
    </row>
    <row r="38" spans="33:43">
      <c r="AG38" s="20" t="s">
        <v>17</v>
      </c>
      <c r="AH38" s="20" t="s">
        <v>49</v>
      </c>
      <c r="AI38" s="54">
        <v>232</v>
      </c>
      <c r="AJ38" s="54">
        <v>232</v>
      </c>
      <c r="AK38" s="54">
        <v>232</v>
      </c>
      <c r="AM38" s="53" t="s">
        <v>20</v>
      </c>
      <c r="AN38" s="20" t="s">
        <v>49</v>
      </c>
      <c r="AO38" s="1">
        <v>0</v>
      </c>
      <c r="AP38" s="1">
        <v>0</v>
      </c>
      <c r="AQ38" s="1">
        <v>0</v>
      </c>
    </row>
    <row r="39" spans="33:43">
      <c r="AG39" s="20" t="s">
        <v>18</v>
      </c>
      <c r="AH39" s="20" t="s">
        <v>49</v>
      </c>
      <c r="AI39" s="54">
        <v>116</v>
      </c>
      <c r="AJ39" s="54">
        <v>116</v>
      </c>
      <c r="AK39" s="54">
        <v>116</v>
      </c>
      <c r="AM39" s="53" t="s">
        <v>84</v>
      </c>
      <c r="AN39" s="20" t="s">
        <v>49</v>
      </c>
      <c r="AO39" s="47">
        <v>0</v>
      </c>
      <c r="AP39" s="47">
        <v>0</v>
      </c>
      <c r="AQ39" s="47">
        <v>0</v>
      </c>
    </row>
    <row r="40" spans="33:43">
      <c r="AG40" s="20" t="s">
        <v>15</v>
      </c>
      <c r="AH40" s="20" t="s">
        <v>49</v>
      </c>
      <c r="AI40" s="54">
        <v>232</v>
      </c>
      <c r="AJ40" s="54">
        <v>232</v>
      </c>
      <c r="AK40" s="54">
        <v>232</v>
      </c>
      <c r="AM40" s="53" t="s">
        <v>85</v>
      </c>
      <c r="AN40" s="20" t="s">
        <v>49</v>
      </c>
      <c r="AO40" s="47">
        <v>0</v>
      </c>
      <c r="AP40" s="47">
        <v>0</v>
      </c>
      <c r="AQ40" s="47">
        <v>0</v>
      </c>
    </row>
    <row r="41" spans="33:43">
      <c r="AG41" s="20" t="s">
        <v>9</v>
      </c>
      <c r="AH41" s="20" t="s">
        <v>49</v>
      </c>
      <c r="AI41" s="54">
        <v>116</v>
      </c>
      <c r="AJ41" s="54">
        <v>116</v>
      </c>
      <c r="AK41" s="54">
        <v>116</v>
      </c>
      <c r="AM41" s="53" t="s">
        <v>146</v>
      </c>
      <c r="AN41" s="20" t="s">
        <v>49</v>
      </c>
      <c r="AO41" s="47">
        <v>0</v>
      </c>
      <c r="AP41" s="47">
        <v>0</v>
      </c>
      <c r="AQ41" s="47">
        <v>0</v>
      </c>
    </row>
    <row r="42" spans="33:43">
      <c r="AG42" s="53" t="s">
        <v>146</v>
      </c>
      <c r="AH42" s="20" t="s">
        <v>49</v>
      </c>
      <c r="AI42" s="54">
        <v>116</v>
      </c>
      <c r="AJ42" s="54">
        <v>116</v>
      </c>
      <c r="AK42" s="54">
        <v>116</v>
      </c>
      <c r="AM42" s="53" t="s">
        <v>21</v>
      </c>
      <c r="AN42" s="20" t="s">
        <v>49</v>
      </c>
      <c r="AO42" s="47">
        <v>0</v>
      </c>
      <c r="AP42" s="47">
        <v>0</v>
      </c>
      <c r="AQ42" s="47">
        <v>0</v>
      </c>
    </row>
    <row r="43" spans="33:43">
      <c r="AG43" s="20" t="s">
        <v>13</v>
      </c>
      <c r="AH43" s="20" t="s">
        <v>50</v>
      </c>
      <c r="AI43" s="41">
        <v>0</v>
      </c>
      <c r="AJ43" s="41">
        <v>0</v>
      </c>
      <c r="AK43" s="41">
        <v>0</v>
      </c>
      <c r="AM43" s="20" t="s">
        <v>5</v>
      </c>
      <c r="AN43" s="20" t="s">
        <v>50</v>
      </c>
      <c r="AO43" s="1">
        <v>0</v>
      </c>
      <c r="AP43" s="1">
        <v>0</v>
      </c>
      <c r="AQ43" s="1">
        <v>0</v>
      </c>
    </row>
    <row r="44" spans="33:43">
      <c r="AG44" s="20" t="s">
        <v>7</v>
      </c>
      <c r="AH44" s="20" t="s">
        <v>50</v>
      </c>
      <c r="AI44" s="54">
        <v>116</v>
      </c>
      <c r="AJ44" s="54">
        <v>116</v>
      </c>
      <c r="AK44" s="54">
        <v>116</v>
      </c>
      <c r="AM44" s="20" t="s">
        <v>6</v>
      </c>
      <c r="AN44" s="20" t="s">
        <v>50</v>
      </c>
      <c r="AO44" s="1">
        <v>0</v>
      </c>
      <c r="AP44" s="1">
        <v>0</v>
      </c>
      <c r="AQ44" s="1">
        <v>0</v>
      </c>
    </row>
    <row r="45" spans="33:43">
      <c r="AG45" s="53" t="s">
        <v>84</v>
      </c>
      <c r="AH45" s="20" t="s">
        <v>50</v>
      </c>
      <c r="AI45" s="41">
        <v>0</v>
      </c>
      <c r="AJ45" s="41">
        <v>0</v>
      </c>
      <c r="AK45" s="41">
        <v>0</v>
      </c>
      <c r="AM45" s="20" t="s">
        <v>7</v>
      </c>
      <c r="AN45" s="20" t="s">
        <v>50</v>
      </c>
      <c r="AO45" s="1">
        <v>0</v>
      </c>
      <c r="AP45" s="1">
        <v>0</v>
      </c>
      <c r="AQ45" s="1">
        <v>0</v>
      </c>
    </row>
    <row r="46" spans="33:43">
      <c r="AG46" s="53" t="s">
        <v>21</v>
      </c>
      <c r="AH46" s="20" t="s">
        <v>50</v>
      </c>
      <c r="AI46" s="41">
        <v>0</v>
      </c>
      <c r="AJ46" s="41">
        <v>0</v>
      </c>
      <c r="AK46" s="41">
        <v>0</v>
      </c>
      <c r="AM46" s="20" t="s">
        <v>8</v>
      </c>
      <c r="AN46" s="20" t="s">
        <v>50</v>
      </c>
      <c r="AO46" s="1">
        <v>0</v>
      </c>
      <c r="AP46" s="1">
        <v>0</v>
      </c>
      <c r="AQ46" s="1">
        <v>0</v>
      </c>
    </row>
    <row r="47" spans="33:43">
      <c r="AG47" s="20" t="s">
        <v>10</v>
      </c>
      <c r="AH47" s="20" t="s">
        <v>50</v>
      </c>
      <c r="AI47" s="61">
        <v>116</v>
      </c>
      <c r="AJ47" s="61">
        <v>116</v>
      </c>
      <c r="AK47" s="61">
        <v>116</v>
      </c>
      <c r="AM47" s="20" t="s">
        <v>9</v>
      </c>
      <c r="AN47" s="20" t="s">
        <v>50</v>
      </c>
      <c r="AO47" s="1">
        <v>0</v>
      </c>
      <c r="AP47" s="1">
        <v>0</v>
      </c>
      <c r="AQ47" s="1">
        <v>0</v>
      </c>
    </row>
    <row r="48" spans="33:43">
      <c r="AG48" s="20" t="s">
        <v>6</v>
      </c>
      <c r="AH48" s="20" t="s">
        <v>50</v>
      </c>
      <c r="AI48" s="54">
        <v>116</v>
      </c>
      <c r="AJ48" s="54">
        <v>116</v>
      </c>
      <c r="AK48" s="54">
        <v>116</v>
      </c>
      <c r="AM48" s="20" t="s">
        <v>10</v>
      </c>
      <c r="AN48" s="20" t="s">
        <v>50</v>
      </c>
      <c r="AO48" s="1">
        <v>0</v>
      </c>
      <c r="AP48" s="1">
        <v>0</v>
      </c>
      <c r="AQ48" s="1">
        <v>0</v>
      </c>
    </row>
    <row r="49" spans="33:43">
      <c r="AG49" s="20" t="s">
        <v>11</v>
      </c>
      <c r="AH49" s="20" t="s">
        <v>50</v>
      </c>
      <c r="AI49" s="41">
        <v>0</v>
      </c>
      <c r="AJ49" s="41">
        <v>0</v>
      </c>
      <c r="AK49" s="41">
        <v>0</v>
      </c>
      <c r="AM49" s="20" t="s">
        <v>11</v>
      </c>
      <c r="AN49" s="20" t="s">
        <v>50</v>
      </c>
      <c r="AO49" s="1">
        <v>0</v>
      </c>
      <c r="AP49" s="1">
        <v>0</v>
      </c>
      <c r="AQ49" s="1">
        <v>0</v>
      </c>
    </row>
    <row r="50" spans="33:43">
      <c r="AG50" s="20" t="s">
        <v>12</v>
      </c>
      <c r="AH50" s="20" t="s">
        <v>50</v>
      </c>
      <c r="AI50" s="41">
        <v>0</v>
      </c>
      <c r="AJ50" s="41">
        <v>0</v>
      </c>
      <c r="AK50" s="41">
        <v>0</v>
      </c>
      <c r="AM50" s="20" t="s">
        <v>12</v>
      </c>
      <c r="AN50" s="20" t="s">
        <v>50</v>
      </c>
      <c r="AO50" s="1">
        <v>0</v>
      </c>
      <c r="AP50" s="1">
        <v>0</v>
      </c>
      <c r="AQ50" s="1">
        <v>0</v>
      </c>
    </row>
    <row r="51" spans="33:43">
      <c r="AG51" s="20" t="s">
        <v>5</v>
      </c>
      <c r="AH51" s="20" t="s">
        <v>50</v>
      </c>
      <c r="AI51" s="54">
        <v>116</v>
      </c>
      <c r="AJ51" s="54">
        <v>116</v>
      </c>
      <c r="AK51" s="54">
        <v>116</v>
      </c>
      <c r="AM51" s="20" t="s">
        <v>13</v>
      </c>
      <c r="AN51" s="20" t="s">
        <v>50</v>
      </c>
      <c r="AO51" s="1">
        <v>0</v>
      </c>
      <c r="AP51" s="1">
        <v>0</v>
      </c>
      <c r="AQ51" s="1">
        <v>0</v>
      </c>
    </row>
    <row r="52" spans="33:43">
      <c r="AG52" s="20" t="s">
        <v>14</v>
      </c>
      <c r="AH52" s="20" t="s">
        <v>50</v>
      </c>
      <c r="AI52" s="41">
        <v>0</v>
      </c>
      <c r="AJ52" s="41">
        <v>0</v>
      </c>
      <c r="AK52" s="41">
        <v>0</v>
      </c>
      <c r="AM52" s="20" t="s">
        <v>14</v>
      </c>
      <c r="AN52" s="20" t="s">
        <v>50</v>
      </c>
      <c r="AO52" s="1">
        <v>0</v>
      </c>
      <c r="AP52" s="1">
        <v>0</v>
      </c>
      <c r="AQ52" s="1">
        <v>0</v>
      </c>
    </row>
    <row r="53" spans="33:43">
      <c r="AG53" s="20" t="s">
        <v>16</v>
      </c>
      <c r="AH53" s="20" t="s">
        <v>50</v>
      </c>
      <c r="AI53" s="54">
        <v>232</v>
      </c>
      <c r="AJ53" s="54">
        <v>232</v>
      </c>
      <c r="AK53" s="54">
        <v>232</v>
      </c>
      <c r="AM53" s="20" t="s">
        <v>15</v>
      </c>
      <c r="AN53" s="20" t="s">
        <v>50</v>
      </c>
      <c r="AO53" s="1">
        <v>0</v>
      </c>
      <c r="AP53" s="1">
        <v>0</v>
      </c>
      <c r="AQ53" s="1">
        <v>0</v>
      </c>
    </row>
    <row r="54" spans="33:43">
      <c r="AG54" s="53" t="s">
        <v>19</v>
      </c>
      <c r="AH54" s="20" t="s">
        <v>50</v>
      </c>
      <c r="AI54" s="54">
        <v>232</v>
      </c>
      <c r="AJ54" s="54">
        <v>232</v>
      </c>
      <c r="AK54" s="54">
        <v>232</v>
      </c>
      <c r="AM54" s="20" t="s">
        <v>16</v>
      </c>
      <c r="AN54" s="20" t="s">
        <v>50</v>
      </c>
      <c r="AO54" s="1">
        <v>0</v>
      </c>
      <c r="AP54" s="1">
        <v>0</v>
      </c>
      <c r="AQ54" s="1">
        <v>0</v>
      </c>
    </row>
    <row r="55" spans="33:43">
      <c r="AG55" s="53" t="s">
        <v>20</v>
      </c>
      <c r="AH55" s="20" t="s">
        <v>50</v>
      </c>
      <c r="AI55" s="54">
        <v>116</v>
      </c>
      <c r="AJ55" s="54">
        <v>116</v>
      </c>
      <c r="AK55" s="54">
        <v>116</v>
      </c>
      <c r="AM55" s="20" t="s">
        <v>17</v>
      </c>
      <c r="AN55" s="20" t="s">
        <v>50</v>
      </c>
      <c r="AO55" s="1">
        <v>0</v>
      </c>
      <c r="AP55" s="1">
        <v>0</v>
      </c>
      <c r="AQ55" s="1">
        <v>0</v>
      </c>
    </row>
    <row r="56" spans="33:43">
      <c r="AG56" s="20" t="s">
        <v>8</v>
      </c>
      <c r="AH56" s="20" t="s">
        <v>50</v>
      </c>
      <c r="AI56" s="54">
        <v>116</v>
      </c>
      <c r="AJ56" s="54">
        <v>116</v>
      </c>
      <c r="AK56" s="54">
        <v>116</v>
      </c>
      <c r="AM56" s="20" t="s">
        <v>18</v>
      </c>
      <c r="AN56" s="20" t="s">
        <v>50</v>
      </c>
      <c r="AO56" s="1">
        <v>0</v>
      </c>
      <c r="AP56" s="1">
        <v>0</v>
      </c>
      <c r="AQ56" s="1">
        <v>0</v>
      </c>
    </row>
    <row r="57" spans="33:43">
      <c r="AG57" s="53" t="s">
        <v>85</v>
      </c>
      <c r="AH57" s="20" t="s">
        <v>50</v>
      </c>
      <c r="AI57" s="41">
        <v>0</v>
      </c>
      <c r="AJ57" s="41">
        <v>0</v>
      </c>
      <c r="AK57" s="41">
        <v>0</v>
      </c>
      <c r="AM57" s="53" t="s">
        <v>19</v>
      </c>
      <c r="AN57" s="20" t="s">
        <v>50</v>
      </c>
      <c r="AO57" s="1">
        <v>0</v>
      </c>
      <c r="AP57" s="1">
        <v>0</v>
      </c>
      <c r="AQ57" s="1">
        <v>0</v>
      </c>
    </row>
    <row r="58" spans="33:43">
      <c r="AG58" s="20" t="s">
        <v>17</v>
      </c>
      <c r="AH58" s="20" t="s">
        <v>50</v>
      </c>
      <c r="AI58" s="54">
        <v>232</v>
      </c>
      <c r="AJ58" s="54">
        <v>232</v>
      </c>
      <c r="AK58" s="54">
        <v>232</v>
      </c>
      <c r="AM58" s="53" t="s">
        <v>20</v>
      </c>
      <c r="AN58" s="20" t="s">
        <v>50</v>
      </c>
      <c r="AO58" s="1">
        <v>0</v>
      </c>
      <c r="AP58" s="1">
        <v>0</v>
      </c>
      <c r="AQ58" s="1">
        <v>0</v>
      </c>
    </row>
    <row r="59" spans="33:43">
      <c r="AG59" s="20" t="s">
        <v>18</v>
      </c>
      <c r="AH59" s="20" t="s">
        <v>50</v>
      </c>
      <c r="AI59" s="54">
        <v>116</v>
      </c>
      <c r="AJ59" s="54">
        <v>116</v>
      </c>
      <c r="AK59" s="54">
        <v>116</v>
      </c>
      <c r="AM59" s="53" t="s">
        <v>84</v>
      </c>
      <c r="AN59" s="20" t="s">
        <v>50</v>
      </c>
      <c r="AO59" s="47">
        <v>0</v>
      </c>
      <c r="AP59" s="47">
        <v>0</v>
      </c>
      <c r="AQ59" s="47">
        <v>0</v>
      </c>
    </row>
    <row r="60" spans="33:43">
      <c r="AG60" s="20" t="s">
        <v>15</v>
      </c>
      <c r="AH60" s="20" t="s">
        <v>50</v>
      </c>
      <c r="AI60" s="54">
        <v>232</v>
      </c>
      <c r="AJ60" s="54">
        <v>232</v>
      </c>
      <c r="AK60" s="54">
        <v>232</v>
      </c>
      <c r="AM60" s="53" t="s">
        <v>85</v>
      </c>
      <c r="AN60" s="20" t="s">
        <v>50</v>
      </c>
      <c r="AO60" s="47">
        <v>0</v>
      </c>
      <c r="AP60" s="47">
        <v>0</v>
      </c>
      <c r="AQ60" s="47">
        <v>0</v>
      </c>
    </row>
    <row r="61" spans="33:43">
      <c r="AG61" s="20" t="s">
        <v>9</v>
      </c>
      <c r="AH61" s="20" t="s">
        <v>50</v>
      </c>
      <c r="AI61" s="54">
        <v>116</v>
      </c>
      <c r="AJ61" s="54">
        <v>116</v>
      </c>
      <c r="AK61" s="54">
        <v>116</v>
      </c>
      <c r="AM61" s="53" t="s">
        <v>146</v>
      </c>
      <c r="AN61" s="20" t="s">
        <v>50</v>
      </c>
      <c r="AO61" s="47">
        <v>0</v>
      </c>
      <c r="AP61" s="47">
        <v>0</v>
      </c>
      <c r="AQ61" s="47">
        <v>0</v>
      </c>
    </row>
    <row r="62" spans="33:43">
      <c r="AG62" s="53" t="s">
        <v>146</v>
      </c>
      <c r="AH62" s="20" t="s">
        <v>50</v>
      </c>
      <c r="AI62" s="54">
        <v>116</v>
      </c>
      <c r="AJ62" s="54">
        <v>116</v>
      </c>
      <c r="AK62" s="54">
        <v>116</v>
      </c>
      <c r="AM62" s="53" t="s">
        <v>21</v>
      </c>
      <c r="AN62" s="20" t="s">
        <v>50</v>
      </c>
      <c r="AO62" s="47">
        <v>0</v>
      </c>
      <c r="AP62" s="47">
        <v>0</v>
      </c>
      <c r="AQ62" s="47">
        <v>0</v>
      </c>
    </row>
    <row r="63" spans="33:43">
      <c r="AG63" s="20" t="s">
        <v>13</v>
      </c>
      <c r="AH63" s="20" t="s">
        <v>51</v>
      </c>
      <c r="AI63" s="41">
        <v>0</v>
      </c>
      <c r="AJ63" s="41">
        <v>0</v>
      </c>
      <c r="AK63" s="41">
        <v>0</v>
      </c>
      <c r="AM63" s="20" t="s">
        <v>5</v>
      </c>
      <c r="AN63" s="20" t="s">
        <v>51</v>
      </c>
      <c r="AO63" s="1">
        <v>0</v>
      </c>
      <c r="AP63" s="1">
        <v>0</v>
      </c>
      <c r="AQ63" s="1">
        <v>0</v>
      </c>
    </row>
    <row r="64" spans="33:43">
      <c r="AG64" s="20" t="s">
        <v>7</v>
      </c>
      <c r="AH64" s="20" t="s">
        <v>51</v>
      </c>
      <c r="AI64" s="54">
        <v>116</v>
      </c>
      <c r="AJ64" s="54">
        <v>116</v>
      </c>
      <c r="AK64" s="54">
        <v>116</v>
      </c>
      <c r="AM64" s="20" t="s">
        <v>6</v>
      </c>
      <c r="AN64" s="20" t="s">
        <v>51</v>
      </c>
      <c r="AO64" s="1">
        <v>0</v>
      </c>
      <c r="AP64" s="1">
        <v>0</v>
      </c>
      <c r="AQ64" s="1">
        <v>0</v>
      </c>
    </row>
    <row r="65" spans="33:43">
      <c r="AG65" s="53" t="s">
        <v>84</v>
      </c>
      <c r="AH65" s="20" t="s">
        <v>51</v>
      </c>
      <c r="AI65" s="41">
        <v>0</v>
      </c>
      <c r="AJ65" s="41">
        <v>0</v>
      </c>
      <c r="AK65" s="41">
        <v>0</v>
      </c>
      <c r="AM65" s="20" t="s">
        <v>7</v>
      </c>
      <c r="AN65" s="20" t="s">
        <v>51</v>
      </c>
      <c r="AO65" s="1">
        <v>0</v>
      </c>
      <c r="AP65" s="1">
        <v>0</v>
      </c>
      <c r="AQ65" s="1">
        <v>0</v>
      </c>
    </row>
    <row r="66" spans="33:43">
      <c r="AG66" s="53" t="s">
        <v>21</v>
      </c>
      <c r="AH66" s="20" t="s">
        <v>51</v>
      </c>
      <c r="AI66" s="41">
        <v>0</v>
      </c>
      <c r="AJ66" s="41">
        <v>0</v>
      </c>
      <c r="AK66" s="41">
        <v>0</v>
      </c>
      <c r="AM66" s="20" t="s">
        <v>8</v>
      </c>
      <c r="AN66" s="20" t="s">
        <v>51</v>
      </c>
      <c r="AO66" s="1">
        <v>0</v>
      </c>
      <c r="AP66" s="1">
        <v>0</v>
      </c>
      <c r="AQ66" s="1">
        <v>0</v>
      </c>
    </row>
    <row r="67" spans="33:43">
      <c r="AG67" s="20" t="s">
        <v>10</v>
      </c>
      <c r="AH67" s="20" t="s">
        <v>51</v>
      </c>
      <c r="AI67" s="61">
        <v>116</v>
      </c>
      <c r="AJ67" s="61">
        <v>116</v>
      </c>
      <c r="AK67" s="61">
        <v>116</v>
      </c>
      <c r="AM67" s="20" t="s">
        <v>9</v>
      </c>
      <c r="AN67" s="20" t="s">
        <v>51</v>
      </c>
      <c r="AO67" s="1">
        <v>0</v>
      </c>
      <c r="AP67" s="1">
        <v>0</v>
      </c>
      <c r="AQ67" s="1">
        <v>0</v>
      </c>
    </row>
    <row r="68" spans="33:43">
      <c r="AG68" s="20" t="s">
        <v>6</v>
      </c>
      <c r="AH68" s="20" t="s">
        <v>51</v>
      </c>
      <c r="AI68" s="54">
        <v>116</v>
      </c>
      <c r="AJ68" s="54">
        <v>116</v>
      </c>
      <c r="AK68" s="54">
        <v>116</v>
      </c>
      <c r="AM68" s="20" t="s">
        <v>10</v>
      </c>
      <c r="AN68" s="20" t="s">
        <v>51</v>
      </c>
      <c r="AO68" s="1">
        <v>0</v>
      </c>
      <c r="AP68" s="1">
        <v>0</v>
      </c>
      <c r="AQ68" s="1">
        <v>0</v>
      </c>
    </row>
    <row r="69" spans="33:43">
      <c r="AG69" s="20" t="s">
        <v>11</v>
      </c>
      <c r="AH69" s="20" t="s">
        <v>51</v>
      </c>
      <c r="AI69" s="41">
        <v>0</v>
      </c>
      <c r="AJ69" s="41">
        <v>0</v>
      </c>
      <c r="AK69" s="41">
        <v>0</v>
      </c>
      <c r="AM69" s="20" t="s">
        <v>11</v>
      </c>
      <c r="AN69" s="20" t="s">
        <v>51</v>
      </c>
      <c r="AO69" s="1">
        <v>0</v>
      </c>
      <c r="AP69" s="1">
        <v>0</v>
      </c>
      <c r="AQ69" s="1">
        <v>0</v>
      </c>
    </row>
    <row r="70" spans="33:43">
      <c r="AG70" s="20" t="s">
        <v>12</v>
      </c>
      <c r="AH70" s="20" t="s">
        <v>51</v>
      </c>
      <c r="AI70" s="41">
        <v>0</v>
      </c>
      <c r="AJ70" s="41">
        <v>0</v>
      </c>
      <c r="AK70" s="41">
        <v>0</v>
      </c>
      <c r="AM70" s="20" t="s">
        <v>12</v>
      </c>
      <c r="AN70" s="20" t="s">
        <v>51</v>
      </c>
      <c r="AO70" s="1">
        <v>0</v>
      </c>
      <c r="AP70" s="1">
        <v>0</v>
      </c>
      <c r="AQ70" s="1">
        <v>0</v>
      </c>
    </row>
    <row r="71" spans="33:43">
      <c r="AG71" s="20" t="s">
        <v>5</v>
      </c>
      <c r="AH71" s="20" t="s">
        <v>51</v>
      </c>
      <c r="AI71" s="54">
        <v>116</v>
      </c>
      <c r="AJ71" s="54">
        <v>116</v>
      </c>
      <c r="AK71" s="54">
        <v>116</v>
      </c>
      <c r="AM71" s="20" t="s">
        <v>13</v>
      </c>
      <c r="AN71" s="20" t="s">
        <v>51</v>
      </c>
      <c r="AO71" s="1">
        <v>0</v>
      </c>
      <c r="AP71" s="1">
        <v>0</v>
      </c>
      <c r="AQ71" s="1">
        <v>0</v>
      </c>
    </row>
    <row r="72" spans="33:43">
      <c r="AG72" s="20" t="s">
        <v>14</v>
      </c>
      <c r="AH72" s="20" t="s">
        <v>51</v>
      </c>
      <c r="AI72" s="41">
        <v>0</v>
      </c>
      <c r="AJ72" s="41">
        <v>0</v>
      </c>
      <c r="AK72" s="41">
        <v>0</v>
      </c>
      <c r="AM72" s="20" t="s">
        <v>14</v>
      </c>
      <c r="AN72" s="20" t="s">
        <v>51</v>
      </c>
      <c r="AO72" s="1">
        <v>0</v>
      </c>
      <c r="AP72" s="1">
        <v>0</v>
      </c>
      <c r="AQ72" s="1">
        <v>0</v>
      </c>
    </row>
    <row r="73" spans="33:43">
      <c r="AG73" s="20" t="s">
        <v>16</v>
      </c>
      <c r="AH73" s="20" t="s">
        <v>51</v>
      </c>
      <c r="AI73" s="54">
        <v>232</v>
      </c>
      <c r="AJ73" s="54">
        <v>232</v>
      </c>
      <c r="AK73" s="54">
        <v>232</v>
      </c>
      <c r="AM73" s="20" t="s">
        <v>15</v>
      </c>
      <c r="AN73" s="20" t="s">
        <v>51</v>
      </c>
      <c r="AO73" s="1">
        <v>0</v>
      </c>
      <c r="AP73" s="1">
        <v>0</v>
      </c>
      <c r="AQ73" s="1">
        <v>0</v>
      </c>
    </row>
    <row r="74" spans="33:43">
      <c r="AG74" s="53" t="s">
        <v>19</v>
      </c>
      <c r="AH74" s="20" t="s">
        <v>51</v>
      </c>
      <c r="AI74" s="54">
        <v>232</v>
      </c>
      <c r="AJ74" s="54">
        <v>232</v>
      </c>
      <c r="AK74" s="54">
        <v>232</v>
      </c>
      <c r="AM74" s="20" t="s">
        <v>16</v>
      </c>
      <c r="AN74" s="20" t="s">
        <v>51</v>
      </c>
      <c r="AO74" s="1">
        <v>0</v>
      </c>
      <c r="AP74" s="1">
        <v>0</v>
      </c>
      <c r="AQ74" s="1">
        <v>0</v>
      </c>
    </row>
    <row r="75" spans="33:43">
      <c r="AG75" s="53" t="s">
        <v>20</v>
      </c>
      <c r="AH75" s="20" t="s">
        <v>51</v>
      </c>
      <c r="AI75" s="54">
        <v>116</v>
      </c>
      <c r="AJ75" s="54">
        <v>116</v>
      </c>
      <c r="AK75" s="54">
        <v>116</v>
      </c>
      <c r="AM75" s="20" t="s">
        <v>17</v>
      </c>
      <c r="AN75" s="20" t="s">
        <v>51</v>
      </c>
      <c r="AO75" s="1">
        <v>0</v>
      </c>
      <c r="AP75" s="1">
        <v>0</v>
      </c>
      <c r="AQ75" s="1">
        <v>0</v>
      </c>
    </row>
    <row r="76" spans="33:43">
      <c r="AG76" s="20" t="s">
        <v>8</v>
      </c>
      <c r="AH76" s="20" t="s">
        <v>51</v>
      </c>
      <c r="AI76" s="54">
        <v>116</v>
      </c>
      <c r="AJ76" s="54">
        <v>116</v>
      </c>
      <c r="AK76" s="54">
        <v>116</v>
      </c>
      <c r="AM76" s="20" t="s">
        <v>18</v>
      </c>
      <c r="AN76" s="20" t="s">
        <v>51</v>
      </c>
      <c r="AO76" s="1">
        <v>0</v>
      </c>
      <c r="AP76" s="1">
        <v>0</v>
      </c>
      <c r="AQ76" s="1">
        <v>0</v>
      </c>
    </row>
    <row r="77" spans="33:43">
      <c r="AG77" s="53" t="s">
        <v>85</v>
      </c>
      <c r="AH77" s="20" t="s">
        <v>51</v>
      </c>
      <c r="AI77" s="41">
        <v>0</v>
      </c>
      <c r="AJ77" s="41">
        <v>0</v>
      </c>
      <c r="AK77" s="41">
        <v>0</v>
      </c>
      <c r="AM77" s="53" t="s">
        <v>19</v>
      </c>
      <c r="AN77" s="20" t="s">
        <v>51</v>
      </c>
      <c r="AO77" s="1">
        <v>0</v>
      </c>
      <c r="AP77" s="1">
        <v>0</v>
      </c>
      <c r="AQ77" s="1">
        <v>0</v>
      </c>
    </row>
    <row r="78" spans="33:43">
      <c r="AG78" s="20" t="s">
        <v>17</v>
      </c>
      <c r="AH78" s="20" t="s">
        <v>51</v>
      </c>
      <c r="AI78" s="54">
        <v>232</v>
      </c>
      <c r="AJ78" s="54">
        <v>232</v>
      </c>
      <c r="AK78" s="54">
        <v>232</v>
      </c>
      <c r="AM78" s="53" t="s">
        <v>20</v>
      </c>
      <c r="AN78" s="20" t="s">
        <v>51</v>
      </c>
      <c r="AO78" s="1">
        <v>0</v>
      </c>
      <c r="AP78" s="1">
        <v>0</v>
      </c>
      <c r="AQ78" s="1">
        <v>0</v>
      </c>
    </row>
    <row r="79" spans="33:43">
      <c r="AG79" s="20" t="s">
        <v>18</v>
      </c>
      <c r="AH79" s="20" t="s">
        <v>51</v>
      </c>
      <c r="AI79" s="54">
        <v>116</v>
      </c>
      <c r="AJ79" s="54">
        <v>116</v>
      </c>
      <c r="AK79" s="54">
        <v>116</v>
      </c>
      <c r="AM79" s="53" t="s">
        <v>84</v>
      </c>
      <c r="AN79" s="20" t="s">
        <v>51</v>
      </c>
      <c r="AO79" s="47">
        <v>0</v>
      </c>
      <c r="AP79" s="47">
        <v>0</v>
      </c>
      <c r="AQ79" s="47">
        <v>0</v>
      </c>
    </row>
    <row r="80" spans="33:43">
      <c r="AG80" s="20" t="s">
        <v>15</v>
      </c>
      <c r="AH80" s="20" t="s">
        <v>51</v>
      </c>
      <c r="AI80" s="54">
        <v>232</v>
      </c>
      <c r="AJ80" s="54">
        <v>232</v>
      </c>
      <c r="AK80" s="54">
        <v>232</v>
      </c>
      <c r="AM80" s="53" t="s">
        <v>85</v>
      </c>
      <c r="AN80" s="20" t="s">
        <v>51</v>
      </c>
      <c r="AO80" s="47">
        <v>0</v>
      </c>
      <c r="AP80" s="47">
        <v>0</v>
      </c>
      <c r="AQ80" s="47">
        <v>0</v>
      </c>
    </row>
    <row r="81" spans="33:43">
      <c r="AG81" s="20" t="s">
        <v>9</v>
      </c>
      <c r="AH81" s="20" t="s">
        <v>51</v>
      </c>
      <c r="AI81" s="54">
        <v>116</v>
      </c>
      <c r="AJ81" s="54">
        <v>116</v>
      </c>
      <c r="AK81" s="54">
        <v>116</v>
      </c>
      <c r="AM81" s="53" t="s">
        <v>146</v>
      </c>
      <c r="AN81" s="20" t="s">
        <v>51</v>
      </c>
      <c r="AO81" s="47">
        <v>0</v>
      </c>
      <c r="AP81" s="47">
        <v>0</v>
      </c>
      <c r="AQ81" s="47">
        <v>0</v>
      </c>
    </row>
    <row r="82" spans="33:43">
      <c r="AG82" s="53" t="s">
        <v>146</v>
      </c>
      <c r="AH82" s="20" t="s">
        <v>51</v>
      </c>
      <c r="AI82" s="54">
        <v>116</v>
      </c>
      <c r="AJ82" s="54">
        <v>116</v>
      </c>
      <c r="AK82" s="54">
        <v>116</v>
      </c>
      <c r="AM82" s="53" t="s">
        <v>21</v>
      </c>
      <c r="AN82" s="20" t="s">
        <v>51</v>
      </c>
      <c r="AO82" s="47">
        <v>0</v>
      </c>
      <c r="AP82" s="47">
        <v>0</v>
      </c>
      <c r="AQ82" s="47">
        <v>0</v>
      </c>
    </row>
    <row r="83" spans="33:43">
      <c r="AG83" s="20" t="s">
        <v>13</v>
      </c>
      <c r="AH83" s="20" t="s">
        <v>52</v>
      </c>
      <c r="AI83" s="41">
        <v>0</v>
      </c>
      <c r="AJ83" s="41">
        <v>0</v>
      </c>
      <c r="AK83" s="41">
        <v>0</v>
      </c>
      <c r="AM83" s="20" t="s">
        <v>5</v>
      </c>
      <c r="AN83" s="20" t="s">
        <v>52</v>
      </c>
      <c r="AO83" s="1">
        <v>0</v>
      </c>
      <c r="AP83" s="1">
        <v>0</v>
      </c>
      <c r="AQ83" s="1">
        <v>0</v>
      </c>
    </row>
    <row r="84" spans="33:43">
      <c r="AG84" s="20" t="s">
        <v>7</v>
      </c>
      <c r="AH84" s="20" t="s">
        <v>52</v>
      </c>
      <c r="AI84" s="54">
        <v>116</v>
      </c>
      <c r="AJ84" s="54">
        <v>116</v>
      </c>
      <c r="AK84" s="54">
        <v>116</v>
      </c>
      <c r="AM84" s="20" t="s">
        <v>6</v>
      </c>
      <c r="AN84" s="20" t="s">
        <v>52</v>
      </c>
      <c r="AO84" s="1">
        <v>0</v>
      </c>
      <c r="AP84" s="1">
        <v>0</v>
      </c>
      <c r="AQ84" s="1">
        <v>0</v>
      </c>
    </row>
    <row r="85" spans="33:43">
      <c r="AG85" s="53" t="s">
        <v>84</v>
      </c>
      <c r="AH85" s="20" t="s">
        <v>52</v>
      </c>
      <c r="AI85" s="41">
        <v>0</v>
      </c>
      <c r="AJ85" s="41">
        <v>0</v>
      </c>
      <c r="AK85" s="41">
        <v>0</v>
      </c>
      <c r="AM85" s="20" t="s">
        <v>7</v>
      </c>
      <c r="AN85" s="20" t="s">
        <v>52</v>
      </c>
      <c r="AO85" s="1">
        <v>0</v>
      </c>
      <c r="AP85" s="1">
        <v>0</v>
      </c>
      <c r="AQ85" s="1">
        <v>0</v>
      </c>
    </row>
    <row r="86" spans="33:43">
      <c r="AG86" s="53" t="s">
        <v>21</v>
      </c>
      <c r="AH86" s="20" t="s">
        <v>52</v>
      </c>
      <c r="AI86" s="41">
        <v>0</v>
      </c>
      <c r="AJ86" s="41">
        <v>0</v>
      </c>
      <c r="AK86" s="41">
        <v>0</v>
      </c>
      <c r="AM86" s="20" t="s">
        <v>8</v>
      </c>
      <c r="AN86" s="20" t="s">
        <v>52</v>
      </c>
      <c r="AO86" s="1">
        <v>0</v>
      </c>
      <c r="AP86" s="1">
        <v>0</v>
      </c>
      <c r="AQ86" s="1">
        <v>0</v>
      </c>
    </row>
    <row r="87" spans="33:43">
      <c r="AG87" s="20" t="s">
        <v>10</v>
      </c>
      <c r="AH87" s="20" t="s">
        <v>52</v>
      </c>
      <c r="AI87" s="61">
        <v>116</v>
      </c>
      <c r="AJ87" s="61">
        <v>116</v>
      </c>
      <c r="AK87" s="61">
        <v>116</v>
      </c>
      <c r="AM87" s="20" t="s">
        <v>9</v>
      </c>
      <c r="AN87" s="20" t="s">
        <v>52</v>
      </c>
      <c r="AO87" s="1">
        <v>0</v>
      </c>
      <c r="AP87" s="1">
        <v>0</v>
      </c>
      <c r="AQ87" s="1">
        <v>0</v>
      </c>
    </row>
    <row r="88" spans="33:43">
      <c r="AG88" s="20" t="s">
        <v>6</v>
      </c>
      <c r="AH88" s="20" t="s">
        <v>52</v>
      </c>
      <c r="AI88" s="54">
        <v>116</v>
      </c>
      <c r="AJ88" s="54">
        <v>116</v>
      </c>
      <c r="AK88" s="54">
        <v>116</v>
      </c>
      <c r="AM88" s="20" t="s">
        <v>10</v>
      </c>
      <c r="AN88" s="20" t="s">
        <v>52</v>
      </c>
      <c r="AO88" s="1">
        <v>0</v>
      </c>
      <c r="AP88" s="1">
        <v>0</v>
      </c>
      <c r="AQ88" s="1">
        <v>0</v>
      </c>
    </row>
    <row r="89" spans="33:43">
      <c r="AG89" s="20" t="s">
        <v>11</v>
      </c>
      <c r="AH89" s="20" t="s">
        <v>52</v>
      </c>
      <c r="AI89" s="41">
        <v>0</v>
      </c>
      <c r="AJ89" s="41">
        <v>0</v>
      </c>
      <c r="AK89" s="41">
        <v>0</v>
      </c>
      <c r="AM89" s="20" t="s">
        <v>11</v>
      </c>
      <c r="AN89" s="20" t="s">
        <v>52</v>
      </c>
      <c r="AO89" s="1">
        <v>0</v>
      </c>
      <c r="AP89" s="1">
        <v>0</v>
      </c>
      <c r="AQ89" s="1">
        <v>0</v>
      </c>
    </row>
    <row r="90" spans="33:43">
      <c r="AG90" s="20" t="s">
        <v>12</v>
      </c>
      <c r="AH90" s="20" t="s">
        <v>52</v>
      </c>
      <c r="AI90" s="41">
        <v>0</v>
      </c>
      <c r="AJ90" s="41">
        <v>0</v>
      </c>
      <c r="AK90" s="41">
        <v>0</v>
      </c>
      <c r="AM90" s="20" t="s">
        <v>12</v>
      </c>
      <c r="AN90" s="20" t="s">
        <v>52</v>
      </c>
      <c r="AO90" s="1">
        <v>0</v>
      </c>
      <c r="AP90" s="1">
        <v>0</v>
      </c>
      <c r="AQ90" s="1">
        <v>0</v>
      </c>
    </row>
    <row r="91" spans="33:43">
      <c r="AG91" s="20" t="s">
        <v>5</v>
      </c>
      <c r="AH91" s="20" t="s">
        <v>52</v>
      </c>
      <c r="AI91" s="54">
        <v>116</v>
      </c>
      <c r="AJ91" s="54">
        <v>116</v>
      </c>
      <c r="AK91" s="54">
        <v>116</v>
      </c>
      <c r="AM91" s="20" t="s">
        <v>13</v>
      </c>
      <c r="AN91" s="20" t="s">
        <v>52</v>
      </c>
      <c r="AO91" s="1">
        <v>0</v>
      </c>
      <c r="AP91" s="1">
        <v>0</v>
      </c>
      <c r="AQ91" s="1">
        <v>0</v>
      </c>
    </row>
    <row r="92" spans="33:43">
      <c r="AG92" s="20" t="s">
        <v>14</v>
      </c>
      <c r="AH92" s="20" t="s">
        <v>52</v>
      </c>
      <c r="AI92" s="41">
        <v>0</v>
      </c>
      <c r="AJ92" s="41">
        <v>0</v>
      </c>
      <c r="AK92" s="41">
        <v>0</v>
      </c>
      <c r="AM92" s="20" t="s">
        <v>14</v>
      </c>
      <c r="AN92" s="20" t="s">
        <v>52</v>
      </c>
      <c r="AO92" s="1">
        <v>0</v>
      </c>
      <c r="AP92" s="1">
        <v>0</v>
      </c>
      <c r="AQ92" s="1">
        <v>0</v>
      </c>
    </row>
    <row r="93" spans="33:43">
      <c r="AG93" s="20" t="s">
        <v>16</v>
      </c>
      <c r="AH93" s="20" t="s">
        <v>52</v>
      </c>
      <c r="AI93" s="54">
        <v>232</v>
      </c>
      <c r="AJ93" s="54">
        <v>232</v>
      </c>
      <c r="AK93" s="54">
        <v>232</v>
      </c>
      <c r="AM93" s="20" t="s">
        <v>15</v>
      </c>
      <c r="AN93" s="20" t="s">
        <v>52</v>
      </c>
      <c r="AO93" s="1">
        <v>0</v>
      </c>
      <c r="AP93" s="1">
        <v>0</v>
      </c>
      <c r="AQ93" s="1">
        <v>0</v>
      </c>
    </row>
    <row r="94" spans="33:43">
      <c r="AG94" s="53" t="s">
        <v>19</v>
      </c>
      <c r="AH94" s="20" t="s">
        <v>52</v>
      </c>
      <c r="AI94" s="54">
        <v>232</v>
      </c>
      <c r="AJ94" s="54">
        <v>232</v>
      </c>
      <c r="AK94" s="54">
        <v>232</v>
      </c>
      <c r="AM94" s="20" t="s">
        <v>16</v>
      </c>
      <c r="AN94" s="20" t="s">
        <v>52</v>
      </c>
      <c r="AO94" s="1">
        <v>0</v>
      </c>
      <c r="AP94" s="1">
        <v>0</v>
      </c>
      <c r="AQ94" s="1">
        <v>0</v>
      </c>
    </row>
    <row r="95" spans="33:43">
      <c r="AG95" s="53" t="s">
        <v>20</v>
      </c>
      <c r="AH95" s="20" t="s">
        <v>52</v>
      </c>
      <c r="AI95" s="54">
        <v>116</v>
      </c>
      <c r="AJ95" s="54">
        <v>116</v>
      </c>
      <c r="AK95" s="54">
        <v>116</v>
      </c>
      <c r="AM95" s="20" t="s">
        <v>17</v>
      </c>
      <c r="AN95" s="20" t="s">
        <v>52</v>
      </c>
      <c r="AO95" s="1">
        <v>0</v>
      </c>
      <c r="AP95" s="1">
        <v>0</v>
      </c>
      <c r="AQ95" s="1">
        <v>0</v>
      </c>
    </row>
    <row r="96" spans="33:43">
      <c r="AG96" s="20" t="s">
        <v>8</v>
      </c>
      <c r="AH96" s="20" t="s">
        <v>52</v>
      </c>
      <c r="AI96" s="54">
        <v>116</v>
      </c>
      <c r="AJ96" s="54">
        <v>116</v>
      </c>
      <c r="AK96" s="54">
        <v>116</v>
      </c>
      <c r="AM96" s="20" t="s">
        <v>18</v>
      </c>
      <c r="AN96" s="20" t="s">
        <v>52</v>
      </c>
      <c r="AO96" s="1">
        <v>0</v>
      </c>
      <c r="AP96" s="1">
        <v>0</v>
      </c>
      <c r="AQ96" s="1">
        <v>0</v>
      </c>
    </row>
    <row r="97" spans="33:43">
      <c r="AG97" s="53" t="s">
        <v>85</v>
      </c>
      <c r="AH97" s="20" t="s">
        <v>52</v>
      </c>
      <c r="AI97" s="41">
        <v>0</v>
      </c>
      <c r="AJ97" s="41">
        <v>0</v>
      </c>
      <c r="AK97" s="41">
        <v>0</v>
      </c>
      <c r="AM97" s="53" t="s">
        <v>19</v>
      </c>
      <c r="AN97" s="20" t="s">
        <v>52</v>
      </c>
      <c r="AO97" s="1">
        <v>0</v>
      </c>
      <c r="AP97" s="1">
        <v>0</v>
      </c>
      <c r="AQ97" s="1">
        <v>0</v>
      </c>
    </row>
    <row r="98" spans="33:43">
      <c r="AG98" s="20" t="s">
        <v>17</v>
      </c>
      <c r="AH98" s="20" t="s">
        <v>52</v>
      </c>
      <c r="AI98" s="54">
        <v>232</v>
      </c>
      <c r="AJ98" s="54">
        <v>232</v>
      </c>
      <c r="AK98" s="54">
        <v>232</v>
      </c>
      <c r="AM98" s="53" t="s">
        <v>20</v>
      </c>
      <c r="AN98" s="20" t="s">
        <v>52</v>
      </c>
      <c r="AO98" s="1">
        <v>0</v>
      </c>
      <c r="AP98" s="1">
        <v>0</v>
      </c>
      <c r="AQ98" s="1">
        <v>0</v>
      </c>
    </row>
    <row r="99" spans="33:43">
      <c r="AG99" s="20" t="s">
        <v>18</v>
      </c>
      <c r="AH99" s="20" t="s">
        <v>52</v>
      </c>
      <c r="AI99" s="54">
        <v>116</v>
      </c>
      <c r="AJ99" s="54">
        <v>116</v>
      </c>
      <c r="AK99" s="54">
        <v>116</v>
      </c>
      <c r="AM99" s="53" t="s">
        <v>84</v>
      </c>
      <c r="AN99" s="20" t="s">
        <v>52</v>
      </c>
      <c r="AO99" s="47">
        <v>0</v>
      </c>
      <c r="AP99" s="47">
        <v>0</v>
      </c>
      <c r="AQ99" s="47">
        <v>0</v>
      </c>
    </row>
    <row r="100" spans="33:43">
      <c r="AG100" s="20" t="s">
        <v>15</v>
      </c>
      <c r="AH100" s="20" t="s">
        <v>52</v>
      </c>
      <c r="AI100" s="54">
        <v>232</v>
      </c>
      <c r="AJ100" s="54">
        <v>232</v>
      </c>
      <c r="AK100" s="54">
        <v>232</v>
      </c>
      <c r="AM100" s="53" t="s">
        <v>85</v>
      </c>
      <c r="AN100" s="20" t="s">
        <v>52</v>
      </c>
      <c r="AO100" s="47">
        <v>0</v>
      </c>
      <c r="AP100" s="47">
        <v>0</v>
      </c>
      <c r="AQ100" s="47">
        <v>0</v>
      </c>
    </row>
    <row r="101" spans="33:43">
      <c r="AG101" s="20" t="s">
        <v>9</v>
      </c>
      <c r="AH101" s="20" t="s">
        <v>52</v>
      </c>
      <c r="AI101" s="54">
        <v>116</v>
      </c>
      <c r="AJ101" s="54">
        <v>116</v>
      </c>
      <c r="AK101" s="54">
        <v>116</v>
      </c>
      <c r="AM101" s="11" t="s">
        <v>146</v>
      </c>
      <c r="AN101" s="20" t="s">
        <v>52</v>
      </c>
      <c r="AO101" s="47">
        <v>0</v>
      </c>
      <c r="AP101" s="47">
        <v>0</v>
      </c>
      <c r="AQ101" s="47">
        <v>0</v>
      </c>
    </row>
    <row r="102" spans="33:43">
      <c r="AG102" s="53" t="s">
        <v>146</v>
      </c>
      <c r="AH102" s="20" t="s">
        <v>52</v>
      </c>
      <c r="AI102" s="54">
        <v>116</v>
      </c>
      <c r="AJ102" s="54">
        <v>116</v>
      </c>
      <c r="AK102" s="54">
        <v>116</v>
      </c>
      <c r="AM102" s="11" t="s">
        <v>21</v>
      </c>
      <c r="AN102" s="20" t="s">
        <v>52</v>
      </c>
      <c r="AO102" s="47">
        <v>0</v>
      </c>
      <c r="AP102" s="47">
        <v>0</v>
      </c>
      <c r="AQ102" s="47">
        <v>0</v>
      </c>
    </row>
    <row r="103" spans="33:43">
      <c r="AG103" s="20" t="s">
        <v>13</v>
      </c>
      <c r="AH103" s="20" t="s">
        <v>53</v>
      </c>
      <c r="AI103" s="41">
        <v>0</v>
      </c>
      <c r="AJ103" s="41">
        <v>0</v>
      </c>
      <c r="AK103" s="41">
        <v>0</v>
      </c>
      <c r="AM103" s="20" t="s">
        <v>5</v>
      </c>
      <c r="AN103" s="20" t="s">
        <v>53</v>
      </c>
      <c r="AO103" s="1">
        <v>0</v>
      </c>
      <c r="AP103" s="1">
        <v>0</v>
      </c>
      <c r="AQ103" s="1">
        <v>0</v>
      </c>
    </row>
    <row r="104" spans="33:43">
      <c r="AG104" s="20" t="s">
        <v>7</v>
      </c>
      <c r="AH104" s="20" t="s">
        <v>53</v>
      </c>
      <c r="AI104" s="54">
        <v>116</v>
      </c>
      <c r="AJ104" s="54">
        <v>116</v>
      </c>
      <c r="AK104" s="54">
        <v>116</v>
      </c>
      <c r="AM104" s="20" t="s">
        <v>6</v>
      </c>
      <c r="AN104" s="20" t="s">
        <v>53</v>
      </c>
      <c r="AO104" s="1">
        <v>0</v>
      </c>
      <c r="AP104" s="1">
        <v>0</v>
      </c>
      <c r="AQ104" s="1">
        <v>0</v>
      </c>
    </row>
    <row r="105" spans="33:43">
      <c r="AG105" s="53" t="s">
        <v>84</v>
      </c>
      <c r="AH105" s="20" t="s">
        <v>53</v>
      </c>
      <c r="AI105" s="41">
        <v>0</v>
      </c>
      <c r="AJ105" s="41">
        <v>0</v>
      </c>
      <c r="AK105" s="41">
        <v>0</v>
      </c>
      <c r="AM105" s="20" t="s">
        <v>7</v>
      </c>
      <c r="AN105" s="20" t="s">
        <v>53</v>
      </c>
      <c r="AO105" s="1">
        <v>0</v>
      </c>
      <c r="AP105" s="1">
        <v>0</v>
      </c>
      <c r="AQ105" s="1">
        <v>0</v>
      </c>
    </row>
    <row r="106" spans="33:43">
      <c r="AG106" s="53" t="s">
        <v>21</v>
      </c>
      <c r="AH106" s="20" t="s">
        <v>53</v>
      </c>
      <c r="AI106" s="41">
        <v>0</v>
      </c>
      <c r="AJ106" s="41">
        <v>0</v>
      </c>
      <c r="AK106" s="41">
        <v>0</v>
      </c>
      <c r="AM106" s="20" t="s">
        <v>8</v>
      </c>
      <c r="AN106" s="20" t="s">
        <v>53</v>
      </c>
      <c r="AO106" s="1">
        <v>0</v>
      </c>
      <c r="AP106" s="1">
        <v>0</v>
      </c>
      <c r="AQ106" s="1">
        <v>0</v>
      </c>
    </row>
    <row r="107" spans="33:43">
      <c r="AG107" s="20" t="s">
        <v>10</v>
      </c>
      <c r="AH107" s="20" t="s">
        <v>53</v>
      </c>
      <c r="AI107" s="61">
        <v>116</v>
      </c>
      <c r="AJ107" s="61">
        <v>116</v>
      </c>
      <c r="AK107" s="61">
        <v>116</v>
      </c>
      <c r="AM107" s="20" t="s">
        <v>9</v>
      </c>
      <c r="AN107" s="20" t="s">
        <v>53</v>
      </c>
      <c r="AO107" s="1">
        <v>0</v>
      </c>
      <c r="AP107" s="1">
        <v>0</v>
      </c>
      <c r="AQ107" s="1">
        <v>0</v>
      </c>
    </row>
    <row r="108" spans="33:43">
      <c r="AG108" s="20" t="s">
        <v>6</v>
      </c>
      <c r="AH108" s="20" t="s">
        <v>53</v>
      </c>
      <c r="AI108" s="54">
        <v>116</v>
      </c>
      <c r="AJ108" s="54">
        <v>116</v>
      </c>
      <c r="AK108" s="54">
        <v>116</v>
      </c>
      <c r="AM108" s="20" t="s">
        <v>10</v>
      </c>
      <c r="AN108" s="20" t="s">
        <v>53</v>
      </c>
      <c r="AO108" s="1">
        <v>0</v>
      </c>
      <c r="AP108" s="1">
        <v>0</v>
      </c>
      <c r="AQ108" s="1">
        <v>0</v>
      </c>
    </row>
    <row r="109" spans="33:43">
      <c r="AG109" s="20" t="s">
        <v>11</v>
      </c>
      <c r="AH109" s="20" t="s">
        <v>53</v>
      </c>
      <c r="AI109" s="41">
        <v>0</v>
      </c>
      <c r="AJ109" s="41">
        <v>0</v>
      </c>
      <c r="AK109" s="41">
        <v>0</v>
      </c>
      <c r="AM109" s="20" t="s">
        <v>11</v>
      </c>
      <c r="AN109" s="20" t="s">
        <v>53</v>
      </c>
      <c r="AO109" s="1">
        <v>0</v>
      </c>
      <c r="AP109" s="1">
        <v>0</v>
      </c>
      <c r="AQ109" s="1">
        <v>0</v>
      </c>
    </row>
    <row r="110" spans="33:43">
      <c r="AG110" s="20" t="s">
        <v>12</v>
      </c>
      <c r="AH110" s="20" t="s">
        <v>53</v>
      </c>
      <c r="AI110" s="41">
        <v>0</v>
      </c>
      <c r="AJ110" s="41">
        <v>0</v>
      </c>
      <c r="AK110" s="41">
        <v>0</v>
      </c>
      <c r="AM110" s="20" t="s">
        <v>12</v>
      </c>
      <c r="AN110" s="20" t="s">
        <v>53</v>
      </c>
      <c r="AO110" s="1">
        <v>0</v>
      </c>
      <c r="AP110" s="1">
        <v>0</v>
      </c>
      <c r="AQ110" s="1">
        <v>0</v>
      </c>
    </row>
    <row r="111" spans="33:43">
      <c r="AG111" s="20" t="s">
        <v>5</v>
      </c>
      <c r="AH111" s="20" t="s">
        <v>53</v>
      </c>
      <c r="AI111" s="54">
        <v>116</v>
      </c>
      <c r="AJ111" s="54">
        <v>116</v>
      </c>
      <c r="AK111" s="54">
        <v>116</v>
      </c>
      <c r="AM111" s="20" t="s">
        <v>13</v>
      </c>
      <c r="AN111" s="20" t="s">
        <v>53</v>
      </c>
      <c r="AO111" s="1">
        <v>0</v>
      </c>
      <c r="AP111" s="1">
        <v>0</v>
      </c>
      <c r="AQ111" s="1">
        <v>0</v>
      </c>
    </row>
    <row r="112" spans="33:43">
      <c r="AG112" s="20" t="s">
        <v>14</v>
      </c>
      <c r="AH112" s="20" t="s">
        <v>53</v>
      </c>
      <c r="AI112" s="41">
        <v>0</v>
      </c>
      <c r="AJ112" s="41">
        <v>0</v>
      </c>
      <c r="AK112" s="41">
        <v>0</v>
      </c>
      <c r="AM112" s="20" t="s">
        <v>14</v>
      </c>
      <c r="AN112" s="20" t="s">
        <v>53</v>
      </c>
      <c r="AO112" s="1">
        <v>0</v>
      </c>
      <c r="AP112" s="1">
        <v>0</v>
      </c>
      <c r="AQ112" s="1">
        <v>0</v>
      </c>
    </row>
    <row r="113" spans="33:43">
      <c r="AG113" s="20" t="s">
        <v>16</v>
      </c>
      <c r="AH113" s="20" t="s">
        <v>53</v>
      </c>
      <c r="AI113" s="54">
        <v>232</v>
      </c>
      <c r="AJ113" s="54">
        <v>232</v>
      </c>
      <c r="AK113" s="54">
        <v>232</v>
      </c>
      <c r="AM113" s="20" t="s">
        <v>15</v>
      </c>
      <c r="AN113" s="20" t="s">
        <v>53</v>
      </c>
      <c r="AO113" s="1">
        <v>0</v>
      </c>
      <c r="AP113" s="1">
        <v>0</v>
      </c>
      <c r="AQ113" s="1">
        <v>0</v>
      </c>
    </row>
    <row r="114" spans="33:43">
      <c r="AG114" s="53" t="s">
        <v>19</v>
      </c>
      <c r="AH114" s="20" t="s">
        <v>53</v>
      </c>
      <c r="AI114" s="54">
        <v>232</v>
      </c>
      <c r="AJ114" s="54">
        <v>232</v>
      </c>
      <c r="AK114" s="54">
        <v>232</v>
      </c>
      <c r="AM114" s="20" t="s">
        <v>16</v>
      </c>
      <c r="AN114" s="20" t="s">
        <v>53</v>
      </c>
      <c r="AO114" s="1">
        <v>0</v>
      </c>
      <c r="AP114" s="1">
        <v>0</v>
      </c>
      <c r="AQ114" s="1">
        <v>0</v>
      </c>
    </row>
    <row r="115" spans="33:43">
      <c r="AG115" s="53" t="s">
        <v>20</v>
      </c>
      <c r="AH115" s="20" t="s">
        <v>53</v>
      </c>
      <c r="AI115" s="54">
        <v>116</v>
      </c>
      <c r="AJ115" s="54">
        <v>116</v>
      </c>
      <c r="AK115" s="54">
        <v>116</v>
      </c>
      <c r="AM115" s="20" t="s">
        <v>17</v>
      </c>
      <c r="AN115" s="20" t="s">
        <v>53</v>
      </c>
      <c r="AO115" s="54">
        <v>0</v>
      </c>
      <c r="AP115" s="54">
        <v>0</v>
      </c>
      <c r="AQ115" s="54">
        <v>0</v>
      </c>
    </row>
    <row r="116" spans="33:43">
      <c r="AG116" s="20" t="s">
        <v>8</v>
      </c>
      <c r="AH116" s="20" t="s">
        <v>53</v>
      </c>
      <c r="AI116" s="54">
        <v>116</v>
      </c>
      <c r="AJ116" s="54">
        <v>116</v>
      </c>
      <c r="AK116" s="54">
        <v>116</v>
      </c>
      <c r="AM116" s="20" t="s">
        <v>18</v>
      </c>
      <c r="AN116" s="20" t="s">
        <v>53</v>
      </c>
      <c r="AO116" s="54">
        <v>0</v>
      </c>
      <c r="AP116" s="54">
        <v>0</v>
      </c>
      <c r="AQ116" s="54">
        <v>0</v>
      </c>
    </row>
    <row r="117" spans="33:43">
      <c r="AG117" s="11" t="s">
        <v>85</v>
      </c>
      <c r="AH117" s="20" t="s">
        <v>53</v>
      </c>
      <c r="AI117" s="41">
        <v>0</v>
      </c>
      <c r="AJ117" s="41">
        <v>0</v>
      </c>
      <c r="AK117" s="41">
        <v>0</v>
      </c>
      <c r="AM117" s="11" t="s">
        <v>19</v>
      </c>
      <c r="AN117" s="20" t="s">
        <v>53</v>
      </c>
      <c r="AO117" s="54">
        <v>0</v>
      </c>
      <c r="AP117" s="54">
        <v>0</v>
      </c>
      <c r="AQ117" s="54">
        <v>0</v>
      </c>
    </row>
    <row r="118" spans="33:43">
      <c r="AG118" s="20" t="s">
        <v>17</v>
      </c>
      <c r="AH118" s="20" t="s">
        <v>53</v>
      </c>
      <c r="AI118" s="54">
        <v>232</v>
      </c>
      <c r="AJ118" s="54">
        <v>232</v>
      </c>
      <c r="AK118" s="54">
        <v>232</v>
      </c>
      <c r="AM118" s="11" t="s">
        <v>20</v>
      </c>
      <c r="AN118" s="20" t="s">
        <v>53</v>
      </c>
      <c r="AO118" s="54">
        <v>0</v>
      </c>
      <c r="AP118" s="54">
        <v>0</v>
      </c>
      <c r="AQ118" s="54">
        <v>0</v>
      </c>
    </row>
    <row r="119" spans="33:43">
      <c r="AG119" s="20" t="s">
        <v>18</v>
      </c>
      <c r="AH119" s="20" t="s">
        <v>53</v>
      </c>
      <c r="AI119" s="54">
        <v>116</v>
      </c>
      <c r="AJ119" s="54">
        <v>116</v>
      </c>
      <c r="AK119" s="54">
        <v>116</v>
      </c>
      <c r="AM119" s="11" t="s">
        <v>84</v>
      </c>
      <c r="AN119" s="20" t="s">
        <v>53</v>
      </c>
      <c r="AO119" s="47">
        <v>0</v>
      </c>
      <c r="AP119" s="47">
        <v>0</v>
      </c>
      <c r="AQ119" s="47">
        <v>0</v>
      </c>
    </row>
    <row r="120" spans="33:43">
      <c r="AG120" s="20" t="s">
        <v>15</v>
      </c>
      <c r="AH120" s="20" t="s">
        <v>53</v>
      </c>
      <c r="AI120" s="54">
        <v>232</v>
      </c>
      <c r="AJ120" s="54">
        <v>232</v>
      </c>
      <c r="AK120" s="54">
        <v>232</v>
      </c>
      <c r="AM120" s="11" t="s">
        <v>85</v>
      </c>
      <c r="AN120" s="20" t="s">
        <v>53</v>
      </c>
      <c r="AO120" s="47">
        <v>0</v>
      </c>
      <c r="AP120" s="47">
        <v>0</v>
      </c>
      <c r="AQ120" s="47">
        <v>0</v>
      </c>
    </row>
    <row r="121" spans="33:43">
      <c r="AG121" s="20" t="s">
        <v>9</v>
      </c>
      <c r="AH121" s="20" t="s">
        <v>53</v>
      </c>
      <c r="AI121" s="54">
        <v>116</v>
      </c>
      <c r="AJ121" s="54">
        <v>116</v>
      </c>
      <c r="AK121" s="54">
        <v>116</v>
      </c>
      <c r="AM121" s="11" t="s">
        <v>146</v>
      </c>
      <c r="AN121" s="20" t="s">
        <v>53</v>
      </c>
      <c r="AO121" s="47">
        <v>0</v>
      </c>
      <c r="AP121" s="47">
        <v>0</v>
      </c>
      <c r="AQ121" s="47">
        <v>0</v>
      </c>
    </row>
    <row r="122" spans="33:43">
      <c r="AG122" s="11" t="s">
        <v>146</v>
      </c>
      <c r="AH122" s="20" t="s">
        <v>53</v>
      </c>
      <c r="AI122" s="54">
        <v>116</v>
      </c>
      <c r="AJ122" s="54">
        <v>116</v>
      </c>
      <c r="AK122" s="54">
        <v>116</v>
      </c>
      <c r="AM122" s="11" t="s">
        <v>21</v>
      </c>
      <c r="AN122" s="20" t="s">
        <v>53</v>
      </c>
      <c r="AO122" s="47">
        <v>0</v>
      </c>
      <c r="AP122" s="47">
        <v>0</v>
      </c>
      <c r="AQ122" s="47">
        <v>0</v>
      </c>
    </row>
    <row r="123" spans="33:43">
      <c r="AG123" s="20" t="s">
        <v>13</v>
      </c>
      <c r="AH123" s="20" t="s">
        <v>54</v>
      </c>
      <c r="AI123" s="41">
        <v>0</v>
      </c>
      <c r="AJ123" s="41">
        <v>0</v>
      </c>
      <c r="AK123" s="41">
        <v>0</v>
      </c>
      <c r="AM123" s="20" t="s">
        <v>5</v>
      </c>
      <c r="AN123" s="20" t="s">
        <v>54</v>
      </c>
      <c r="AO123" s="54">
        <v>0</v>
      </c>
      <c r="AP123" s="54">
        <v>0</v>
      </c>
      <c r="AQ123" s="54">
        <v>0</v>
      </c>
    </row>
    <row r="124" spans="33:43">
      <c r="AG124" s="20" t="s">
        <v>7</v>
      </c>
      <c r="AH124" s="20" t="s">
        <v>54</v>
      </c>
      <c r="AI124" s="54">
        <v>116</v>
      </c>
      <c r="AJ124" s="54">
        <v>116</v>
      </c>
      <c r="AK124" s="54">
        <v>116</v>
      </c>
      <c r="AM124" s="20" t="s">
        <v>6</v>
      </c>
      <c r="AN124" s="20" t="s">
        <v>54</v>
      </c>
      <c r="AO124" s="54">
        <v>0</v>
      </c>
      <c r="AP124" s="54">
        <v>0</v>
      </c>
      <c r="AQ124" s="54">
        <v>0</v>
      </c>
    </row>
    <row r="125" spans="33:43">
      <c r="AG125" s="53" t="s">
        <v>84</v>
      </c>
      <c r="AH125" s="20" t="s">
        <v>54</v>
      </c>
      <c r="AI125" s="41">
        <v>0</v>
      </c>
      <c r="AJ125" s="41">
        <v>0</v>
      </c>
      <c r="AK125" s="41">
        <v>0</v>
      </c>
      <c r="AM125" s="20" t="s">
        <v>7</v>
      </c>
      <c r="AN125" s="20" t="s">
        <v>54</v>
      </c>
      <c r="AO125" s="54">
        <v>0</v>
      </c>
      <c r="AP125" s="54">
        <v>0</v>
      </c>
      <c r="AQ125" s="54">
        <v>0</v>
      </c>
    </row>
    <row r="126" spans="33:43">
      <c r="AG126" s="53" t="s">
        <v>21</v>
      </c>
      <c r="AH126" s="20" t="s">
        <v>54</v>
      </c>
      <c r="AI126" s="41">
        <v>0</v>
      </c>
      <c r="AJ126" s="41">
        <v>0</v>
      </c>
      <c r="AK126" s="41">
        <v>0</v>
      </c>
      <c r="AM126" s="20" t="s">
        <v>8</v>
      </c>
      <c r="AN126" s="20" t="s">
        <v>54</v>
      </c>
      <c r="AO126" s="54">
        <v>0</v>
      </c>
      <c r="AP126" s="54">
        <v>0</v>
      </c>
      <c r="AQ126" s="54">
        <v>0</v>
      </c>
    </row>
    <row r="127" spans="33:43">
      <c r="AG127" s="20" t="s">
        <v>10</v>
      </c>
      <c r="AH127" s="20" t="s">
        <v>54</v>
      </c>
      <c r="AI127" s="61">
        <v>116</v>
      </c>
      <c r="AJ127" s="61">
        <v>116</v>
      </c>
      <c r="AK127" s="61">
        <v>116</v>
      </c>
      <c r="AM127" s="20" t="s">
        <v>9</v>
      </c>
      <c r="AN127" s="20" t="s">
        <v>54</v>
      </c>
      <c r="AO127" s="54">
        <v>0</v>
      </c>
      <c r="AP127" s="54">
        <v>0</v>
      </c>
      <c r="AQ127" s="54">
        <v>0</v>
      </c>
    </row>
    <row r="128" spans="33:43">
      <c r="AG128" s="20" t="s">
        <v>6</v>
      </c>
      <c r="AH128" s="20" t="s">
        <v>54</v>
      </c>
      <c r="AI128" s="54">
        <v>116</v>
      </c>
      <c r="AJ128" s="54">
        <v>116</v>
      </c>
      <c r="AK128" s="54">
        <v>116</v>
      </c>
      <c r="AM128" s="20" t="s">
        <v>10</v>
      </c>
      <c r="AN128" s="20" t="s">
        <v>54</v>
      </c>
      <c r="AO128" s="54">
        <v>0</v>
      </c>
      <c r="AP128" s="54">
        <v>0</v>
      </c>
      <c r="AQ128" s="54">
        <v>0</v>
      </c>
    </row>
    <row r="129" spans="33:43">
      <c r="AG129" s="20" t="s">
        <v>11</v>
      </c>
      <c r="AH129" s="20" t="s">
        <v>54</v>
      </c>
      <c r="AI129" s="41">
        <v>0</v>
      </c>
      <c r="AJ129" s="41">
        <v>0</v>
      </c>
      <c r="AK129" s="41">
        <v>0</v>
      </c>
      <c r="AM129" s="20" t="s">
        <v>11</v>
      </c>
      <c r="AN129" s="20" t="s">
        <v>54</v>
      </c>
      <c r="AO129" s="54">
        <v>0</v>
      </c>
      <c r="AP129" s="54">
        <v>0</v>
      </c>
      <c r="AQ129" s="54">
        <v>0</v>
      </c>
    </row>
    <row r="130" spans="33:43">
      <c r="AG130" s="20" t="s">
        <v>12</v>
      </c>
      <c r="AH130" s="20" t="s">
        <v>54</v>
      </c>
      <c r="AI130" s="41">
        <v>0</v>
      </c>
      <c r="AJ130" s="41">
        <v>0</v>
      </c>
      <c r="AK130" s="41">
        <v>0</v>
      </c>
      <c r="AM130" s="20" t="s">
        <v>12</v>
      </c>
      <c r="AN130" s="20" t="s">
        <v>54</v>
      </c>
      <c r="AO130" s="54">
        <v>0</v>
      </c>
      <c r="AP130" s="54">
        <v>0</v>
      </c>
      <c r="AQ130" s="54">
        <v>0</v>
      </c>
    </row>
    <row r="131" spans="33:43">
      <c r="AG131" s="20" t="s">
        <v>5</v>
      </c>
      <c r="AH131" s="20" t="s">
        <v>54</v>
      </c>
      <c r="AI131" s="54">
        <v>116</v>
      </c>
      <c r="AJ131" s="54">
        <v>116</v>
      </c>
      <c r="AK131" s="54">
        <v>116</v>
      </c>
      <c r="AM131" s="20" t="s">
        <v>13</v>
      </c>
      <c r="AN131" s="20" t="s">
        <v>54</v>
      </c>
      <c r="AO131" s="54">
        <v>0</v>
      </c>
      <c r="AP131" s="54">
        <v>0</v>
      </c>
      <c r="AQ131" s="54">
        <v>0</v>
      </c>
    </row>
    <row r="132" spans="33:43">
      <c r="AG132" s="20" t="s">
        <v>14</v>
      </c>
      <c r="AH132" s="20" t="s">
        <v>54</v>
      </c>
      <c r="AI132" s="41">
        <v>0</v>
      </c>
      <c r="AJ132" s="41">
        <v>0</v>
      </c>
      <c r="AK132" s="41">
        <v>0</v>
      </c>
      <c r="AM132" s="20" t="s">
        <v>14</v>
      </c>
      <c r="AN132" s="20" t="s">
        <v>54</v>
      </c>
      <c r="AO132" s="54">
        <v>0</v>
      </c>
      <c r="AP132" s="54">
        <v>0</v>
      </c>
      <c r="AQ132" s="54">
        <v>0</v>
      </c>
    </row>
    <row r="133" spans="33:43">
      <c r="AG133" s="20" t="s">
        <v>16</v>
      </c>
      <c r="AH133" s="20" t="s">
        <v>54</v>
      </c>
      <c r="AI133" s="54">
        <v>232</v>
      </c>
      <c r="AJ133" s="54">
        <v>232</v>
      </c>
      <c r="AK133" s="54">
        <v>232</v>
      </c>
      <c r="AM133" s="20" t="s">
        <v>15</v>
      </c>
      <c r="AN133" s="20" t="s">
        <v>54</v>
      </c>
      <c r="AO133" s="54">
        <v>0</v>
      </c>
      <c r="AP133" s="54">
        <v>0</v>
      </c>
      <c r="AQ133" s="54">
        <v>0</v>
      </c>
    </row>
    <row r="134" spans="33:43">
      <c r="AG134" s="53" t="s">
        <v>19</v>
      </c>
      <c r="AH134" s="20" t="s">
        <v>54</v>
      </c>
      <c r="AI134" s="54">
        <v>232</v>
      </c>
      <c r="AJ134" s="54">
        <v>232</v>
      </c>
      <c r="AK134" s="54">
        <v>232</v>
      </c>
      <c r="AM134" s="20" t="s">
        <v>16</v>
      </c>
      <c r="AN134" s="20" t="s">
        <v>54</v>
      </c>
      <c r="AO134" s="54">
        <v>0</v>
      </c>
      <c r="AP134" s="54">
        <v>0</v>
      </c>
      <c r="AQ134" s="54">
        <v>0</v>
      </c>
    </row>
    <row r="135" spans="33:43">
      <c r="AG135" s="53" t="s">
        <v>20</v>
      </c>
      <c r="AH135" s="20" t="s">
        <v>54</v>
      </c>
      <c r="AI135" s="54">
        <v>116</v>
      </c>
      <c r="AJ135" s="54">
        <v>116</v>
      </c>
      <c r="AK135" s="54">
        <v>116</v>
      </c>
      <c r="AM135" s="20" t="s">
        <v>17</v>
      </c>
      <c r="AN135" s="20" t="s">
        <v>54</v>
      </c>
      <c r="AO135" s="54">
        <v>0</v>
      </c>
      <c r="AP135" s="54">
        <v>0</v>
      </c>
      <c r="AQ135" s="54">
        <v>0</v>
      </c>
    </row>
    <row r="136" spans="33:43">
      <c r="AG136" s="20" t="s">
        <v>8</v>
      </c>
      <c r="AH136" s="20" t="s">
        <v>54</v>
      </c>
      <c r="AI136" s="54">
        <v>116</v>
      </c>
      <c r="AJ136" s="54">
        <v>116</v>
      </c>
      <c r="AK136" s="54">
        <v>116</v>
      </c>
      <c r="AM136" s="20" t="s">
        <v>18</v>
      </c>
      <c r="AN136" s="20" t="s">
        <v>54</v>
      </c>
      <c r="AO136" s="54">
        <v>0</v>
      </c>
      <c r="AP136" s="54">
        <v>0</v>
      </c>
      <c r="AQ136" s="54">
        <v>0</v>
      </c>
    </row>
    <row r="137" spans="33:43">
      <c r="AG137" s="53" t="s">
        <v>85</v>
      </c>
      <c r="AH137" s="20" t="s">
        <v>54</v>
      </c>
      <c r="AI137" s="41">
        <v>0</v>
      </c>
      <c r="AJ137" s="41">
        <v>0</v>
      </c>
      <c r="AK137" s="41">
        <v>0</v>
      </c>
      <c r="AM137" s="11" t="s">
        <v>19</v>
      </c>
      <c r="AN137" s="20" t="s">
        <v>54</v>
      </c>
      <c r="AO137" s="54">
        <v>0</v>
      </c>
      <c r="AP137" s="54">
        <v>0</v>
      </c>
      <c r="AQ137" s="54">
        <v>0</v>
      </c>
    </row>
    <row r="138" spans="33:43">
      <c r="AG138" s="20" t="s">
        <v>17</v>
      </c>
      <c r="AH138" s="20" t="s">
        <v>54</v>
      </c>
      <c r="AI138" s="54">
        <v>232</v>
      </c>
      <c r="AJ138" s="54">
        <v>232</v>
      </c>
      <c r="AK138" s="54">
        <v>232</v>
      </c>
      <c r="AM138" s="11" t="s">
        <v>20</v>
      </c>
      <c r="AN138" s="20" t="s">
        <v>54</v>
      </c>
      <c r="AO138" s="54">
        <v>0</v>
      </c>
      <c r="AP138" s="54">
        <v>0</v>
      </c>
      <c r="AQ138" s="54">
        <v>0</v>
      </c>
    </row>
    <row r="139" spans="33:43">
      <c r="AG139" s="20" t="s">
        <v>18</v>
      </c>
      <c r="AH139" s="20" t="s">
        <v>54</v>
      </c>
      <c r="AI139" s="54">
        <v>116</v>
      </c>
      <c r="AJ139" s="54">
        <v>116</v>
      </c>
      <c r="AK139" s="54">
        <v>116</v>
      </c>
      <c r="AM139" s="11" t="s">
        <v>84</v>
      </c>
      <c r="AN139" s="20" t="s">
        <v>54</v>
      </c>
      <c r="AO139" s="47">
        <v>0</v>
      </c>
      <c r="AP139" s="47">
        <v>0</v>
      </c>
      <c r="AQ139" s="47">
        <v>0</v>
      </c>
    </row>
    <row r="140" spans="33:43">
      <c r="AG140" s="20" t="s">
        <v>15</v>
      </c>
      <c r="AH140" s="20" t="s">
        <v>54</v>
      </c>
      <c r="AI140" s="54">
        <v>232</v>
      </c>
      <c r="AJ140" s="54">
        <v>232</v>
      </c>
      <c r="AK140" s="54">
        <v>232</v>
      </c>
      <c r="AM140" s="11" t="s">
        <v>85</v>
      </c>
      <c r="AN140" s="20" t="s">
        <v>54</v>
      </c>
      <c r="AO140" s="47">
        <v>0</v>
      </c>
      <c r="AP140" s="47">
        <v>0</v>
      </c>
      <c r="AQ140" s="47">
        <v>0</v>
      </c>
    </row>
    <row r="141" spans="33:43">
      <c r="AG141" s="20" t="s">
        <v>9</v>
      </c>
      <c r="AH141" s="20" t="s">
        <v>54</v>
      </c>
      <c r="AI141" s="54">
        <v>116</v>
      </c>
      <c r="AJ141" s="54">
        <v>116</v>
      </c>
      <c r="AK141" s="54">
        <v>116</v>
      </c>
      <c r="AM141" s="11" t="s">
        <v>146</v>
      </c>
      <c r="AN141" s="20" t="s">
        <v>54</v>
      </c>
      <c r="AO141" s="47">
        <v>0</v>
      </c>
      <c r="AP141" s="47">
        <v>0</v>
      </c>
      <c r="AQ141" s="47">
        <v>0</v>
      </c>
    </row>
    <row r="142" spans="33:43">
      <c r="AG142" s="53" t="s">
        <v>146</v>
      </c>
      <c r="AH142" s="20" t="s">
        <v>54</v>
      </c>
      <c r="AI142" s="54">
        <v>116</v>
      </c>
      <c r="AJ142" s="54">
        <v>116</v>
      </c>
      <c r="AK142" s="54">
        <v>116</v>
      </c>
      <c r="AM142" s="11" t="s">
        <v>21</v>
      </c>
      <c r="AN142" s="20" t="s">
        <v>54</v>
      </c>
      <c r="AO142" s="47">
        <v>0</v>
      </c>
      <c r="AP142" s="47">
        <v>0</v>
      </c>
      <c r="AQ142" s="47">
        <v>0</v>
      </c>
    </row>
    <row r="143" spans="33:43">
      <c r="AG143" s="20" t="s">
        <v>13</v>
      </c>
      <c r="AH143" s="20" t="s">
        <v>120</v>
      </c>
      <c r="AI143" s="41">
        <v>0</v>
      </c>
      <c r="AJ143" s="41">
        <v>0</v>
      </c>
      <c r="AK143" s="41">
        <v>0</v>
      </c>
      <c r="AM143" s="20" t="s">
        <v>5</v>
      </c>
      <c r="AN143" s="20" t="s">
        <v>120</v>
      </c>
      <c r="AO143" s="47">
        <v>0</v>
      </c>
      <c r="AP143" s="47">
        <v>0</v>
      </c>
      <c r="AQ143" s="47">
        <v>0</v>
      </c>
    </row>
    <row r="144" spans="33:43">
      <c r="AG144" s="20" t="s">
        <v>7</v>
      </c>
      <c r="AH144" s="20" t="s">
        <v>120</v>
      </c>
      <c r="AI144" s="54">
        <v>116</v>
      </c>
      <c r="AJ144" s="54">
        <v>116</v>
      </c>
      <c r="AK144" s="54">
        <v>116</v>
      </c>
      <c r="AM144" s="20" t="s">
        <v>6</v>
      </c>
      <c r="AN144" s="20" t="s">
        <v>120</v>
      </c>
      <c r="AO144" s="47">
        <v>0</v>
      </c>
      <c r="AP144" s="47">
        <v>0</v>
      </c>
      <c r="AQ144" s="47">
        <v>0</v>
      </c>
    </row>
    <row r="145" spans="33:43">
      <c r="AG145" s="53" t="s">
        <v>84</v>
      </c>
      <c r="AH145" s="20" t="s">
        <v>120</v>
      </c>
      <c r="AI145" s="41">
        <v>0</v>
      </c>
      <c r="AJ145" s="41">
        <v>0</v>
      </c>
      <c r="AK145" s="41">
        <v>0</v>
      </c>
      <c r="AM145" s="20" t="s">
        <v>7</v>
      </c>
      <c r="AN145" s="20" t="s">
        <v>120</v>
      </c>
      <c r="AO145" s="47">
        <v>0</v>
      </c>
      <c r="AP145" s="47">
        <v>0</v>
      </c>
      <c r="AQ145" s="47">
        <v>0</v>
      </c>
    </row>
    <row r="146" spans="33:43">
      <c r="AG146" s="53" t="s">
        <v>21</v>
      </c>
      <c r="AH146" s="20" t="s">
        <v>120</v>
      </c>
      <c r="AI146" s="41">
        <v>0</v>
      </c>
      <c r="AJ146" s="41">
        <v>0</v>
      </c>
      <c r="AK146" s="41">
        <v>0</v>
      </c>
      <c r="AM146" s="20" t="s">
        <v>8</v>
      </c>
      <c r="AN146" s="20" t="s">
        <v>120</v>
      </c>
      <c r="AO146" s="47">
        <v>0</v>
      </c>
      <c r="AP146" s="47">
        <v>0</v>
      </c>
      <c r="AQ146" s="47">
        <v>0</v>
      </c>
    </row>
    <row r="147" spans="33:43">
      <c r="AG147" s="20" t="s">
        <v>10</v>
      </c>
      <c r="AH147" s="20" t="s">
        <v>120</v>
      </c>
      <c r="AI147" s="61">
        <v>116</v>
      </c>
      <c r="AJ147" s="61">
        <v>116</v>
      </c>
      <c r="AK147" s="61">
        <v>116</v>
      </c>
      <c r="AM147" s="20" t="s">
        <v>9</v>
      </c>
      <c r="AN147" s="20" t="s">
        <v>120</v>
      </c>
      <c r="AO147" s="47">
        <v>0</v>
      </c>
      <c r="AP147" s="47">
        <v>0</v>
      </c>
      <c r="AQ147" s="47">
        <v>0</v>
      </c>
    </row>
    <row r="148" spans="33:43">
      <c r="AG148" s="20" t="s">
        <v>6</v>
      </c>
      <c r="AH148" s="20" t="s">
        <v>120</v>
      </c>
      <c r="AI148" s="54">
        <v>116</v>
      </c>
      <c r="AJ148" s="54">
        <v>116</v>
      </c>
      <c r="AK148" s="54">
        <v>116</v>
      </c>
      <c r="AM148" s="20" t="s">
        <v>10</v>
      </c>
      <c r="AN148" s="20" t="s">
        <v>120</v>
      </c>
      <c r="AO148" s="47">
        <v>0</v>
      </c>
      <c r="AP148" s="47">
        <v>0</v>
      </c>
      <c r="AQ148" s="47">
        <v>0</v>
      </c>
    </row>
    <row r="149" spans="33:43">
      <c r="AG149" s="20" t="s">
        <v>11</v>
      </c>
      <c r="AH149" s="20" t="s">
        <v>120</v>
      </c>
      <c r="AI149" s="41">
        <v>0</v>
      </c>
      <c r="AJ149" s="41">
        <v>0</v>
      </c>
      <c r="AK149" s="41">
        <v>0</v>
      </c>
      <c r="AM149" s="20" t="s">
        <v>11</v>
      </c>
      <c r="AN149" s="20" t="s">
        <v>120</v>
      </c>
      <c r="AO149" s="47">
        <v>0</v>
      </c>
      <c r="AP149" s="47">
        <v>0</v>
      </c>
      <c r="AQ149" s="47">
        <v>0</v>
      </c>
    </row>
    <row r="150" spans="33:43">
      <c r="AG150" s="20" t="s">
        <v>12</v>
      </c>
      <c r="AH150" s="20" t="s">
        <v>120</v>
      </c>
      <c r="AI150" s="41">
        <v>0</v>
      </c>
      <c r="AJ150" s="41">
        <v>0</v>
      </c>
      <c r="AK150" s="41">
        <v>0</v>
      </c>
      <c r="AM150" s="20" t="s">
        <v>12</v>
      </c>
      <c r="AN150" s="20" t="s">
        <v>120</v>
      </c>
      <c r="AO150" s="47">
        <v>0</v>
      </c>
      <c r="AP150" s="47">
        <v>0</v>
      </c>
      <c r="AQ150" s="47">
        <v>0</v>
      </c>
    </row>
    <row r="151" spans="33:43">
      <c r="AG151" s="20" t="s">
        <v>5</v>
      </c>
      <c r="AH151" s="20" t="s">
        <v>120</v>
      </c>
      <c r="AI151" s="54">
        <v>116</v>
      </c>
      <c r="AJ151" s="54">
        <v>116</v>
      </c>
      <c r="AK151" s="54">
        <v>116</v>
      </c>
      <c r="AM151" s="20" t="s">
        <v>13</v>
      </c>
      <c r="AN151" s="20" t="s">
        <v>120</v>
      </c>
      <c r="AO151" s="47">
        <v>0</v>
      </c>
      <c r="AP151" s="47">
        <v>0</v>
      </c>
      <c r="AQ151" s="47">
        <v>0</v>
      </c>
    </row>
    <row r="152" spans="33:43">
      <c r="AG152" s="20" t="s">
        <v>14</v>
      </c>
      <c r="AH152" s="20" t="s">
        <v>120</v>
      </c>
      <c r="AI152" s="41">
        <v>0</v>
      </c>
      <c r="AJ152" s="41">
        <v>0</v>
      </c>
      <c r="AK152" s="41">
        <v>0</v>
      </c>
      <c r="AM152" s="20" t="s">
        <v>14</v>
      </c>
      <c r="AN152" s="20" t="s">
        <v>120</v>
      </c>
      <c r="AO152" s="47">
        <v>0</v>
      </c>
      <c r="AP152" s="47">
        <v>0</v>
      </c>
      <c r="AQ152" s="47">
        <v>0</v>
      </c>
    </row>
    <row r="153" spans="33:43">
      <c r="AG153" s="20" t="s">
        <v>16</v>
      </c>
      <c r="AH153" s="20" t="s">
        <v>120</v>
      </c>
      <c r="AI153" s="54">
        <v>232</v>
      </c>
      <c r="AJ153" s="54">
        <v>232</v>
      </c>
      <c r="AK153" s="54">
        <v>232</v>
      </c>
      <c r="AM153" s="20" t="s">
        <v>15</v>
      </c>
      <c r="AN153" s="20" t="s">
        <v>120</v>
      </c>
      <c r="AO153" s="47">
        <v>0</v>
      </c>
      <c r="AP153" s="47">
        <v>0</v>
      </c>
      <c r="AQ153" s="47">
        <v>0</v>
      </c>
    </row>
    <row r="154" spans="33:43">
      <c r="AG154" s="53" t="s">
        <v>19</v>
      </c>
      <c r="AH154" s="20" t="s">
        <v>120</v>
      </c>
      <c r="AI154" s="54">
        <v>232</v>
      </c>
      <c r="AJ154" s="54">
        <v>232</v>
      </c>
      <c r="AK154" s="54">
        <v>232</v>
      </c>
      <c r="AM154" s="20" t="s">
        <v>16</v>
      </c>
      <c r="AN154" s="20" t="s">
        <v>120</v>
      </c>
      <c r="AO154" s="47">
        <v>0</v>
      </c>
      <c r="AP154" s="47">
        <v>0</v>
      </c>
      <c r="AQ154" s="47">
        <v>0</v>
      </c>
    </row>
    <row r="155" spans="33:43">
      <c r="AG155" s="53" t="s">
        <v>20</v>
      </c>
      <c r="AH155" s="20" t="s">
        <v>120</v>
      </c>
      <c r="AI155" s="54">
        <v>116</v>
      </c>
      <c r="AJ155" s="54">
        <v>116</v>
      </c>
      <c r="AK155" s="54">
        <v>116</v>
      </c>
      <c r="AM155" s="20" t="s">
        <v>17</v>
      </c>
      <c r="AN155" s="20" t="s">
        <v>120</v>
      </c>
      <c r="AO155" s="47">
        <v>0</v>
      </c>
      <c r="AP155" s="47">
        <v>0</v>
      </c>
      <c r="AQ155" s="47">
        <v>0</v>
      </c>
    </row>
    <row r="156" spans="33:43">
      <c r="AG156" s="20" t="s">
        <v>8</v>
      </c>
      <c r="AH156" s="20" t="s">
        <v>120</v>
      </c>
      <c r="AI156" s="54">
        <v>116</v>
      </c>
      <c r="AJ156" s="54">
        <v>116</v>
      </c>
      <c r="AK156" s="54">
        <v>116</v>
      </c>
      <c r="AM156" s="20" t="s">
        <v>18</v>
      </c>
      <c r="AN156" s="20" t="s">
        <v>120</v>
      </c>
      <c r="AO156" s="47">
        <v>0</v>
      </c>
      <c r="AP156" s="47">
        <v>0</v>
      </c>
      <c r="AQ156" s="47">
        <v>0</v>
      </c>
    </row>
    <row r="157" spans="33:43">
      <c r="AG157" s="53" t="s">
        <v>85</v>
      </c>
      <c r="AH157" s="20" t="s">
        <v>120</v>
      </c>
      <c r="AI157" s="41">
        <v>0</v>
      </c>
      <c r="AJ157" s="41">
        <v>0</v>
      </c>
      <c r="AK157" s="41">
        <v>0</v>
      </c>
      <c r="AM157" s="53" t="s">
        <v>19</v>
      </c>
      <c r="AN157" s="20" t="s">
        <v>120</v>
      </c>
      <c r="AO157" s="47">
        <v>0</v>
      </c>
      <c r="AP157" s="47">
        <v>0</v>
      </c>
      <c r="AQ157" s="47">
        <v>0</v>
      </c>
    </row>
    <row r="158" spans="33:43">
      <c r="AG158" s="20" t="s">
        <v>17</v>
      </c>
      <c r="AH158" s="20" t="s">
        <v>120</v>
      </c>
      <c r="AI158" s="54">
        <v>232</v>
      </c>
      <c r="AJ158" s="54">
        <v>232</v>
      </c>
      <c r="AK158" s="54">
        <v>232</v>
      </c>
      <c r="AM158" s="53" t="s">
        <v>20</v>
      </c>
      <c r="AN158" s="20" t="s">
        <v>120</v>
      </c>
      <c r="AO158" s="47">
        <v>0</v>
      </c>
      <c r="AP158" s="47">
        <v>0</v>
      </c>
      <c r="AQ158" s="47">
        <v>0</v>
      </c>
    </row>
    <row r="159" spans="33:43">
      <c r="AG159" s="20" t="s">
        <v>18</v>
      </c>
      <c r="AH159" s="20" t="s">
        <v>120</v>
      </c>
      <c r="AI159" s="54">
        <v>116</v>
      </c>
      <c r="AJ159" s="54">
        <v>116</v>
      </c>
      <c r="AK159" s="54">
        <v>116</v>
      </c>
      <c r="AM159" s="53" t="s">
        <v>84</v>
      </c>
      <c r="AN159" s="20" t="s">
        <v>120</v>
      </c>
      <c r="AO159" s="47">
        <v>0</v>
      </c>
      <c r="AP159" s="47">
        <v>0</v>
      </c>
      <c r="AQ159" s="47">
        <v>0</v>
      </c>
    </row>
    <row r="160" spans="33:43">
      <c r="AG160" s="20" t="s">
        <v>15</v>
      </c>
      <c r="AH160" s="20" t="s">
        <v>120</v>
      </c>
      <c r="AI160" s="54">
        <v>232</v>
      </c>
      <c r="AJ160" s="54">
        <v>232</v>
      </c>
      <c r="AK160" s="54">
        <v>232</v>
      </c>
      <c r="AM160" s="53" t="s">
        <v>85</v>
      </c>
      <c r="AN160" s="20" t="s">
        <v>120</v>
      </c>
      <c r="AO160" s="47">
        <v>0</v>
      </c>
      <c r="AP160" s="47">
        <v>0</v>
      </c>
      <c r="AQ160" s="47">
        <v>0</v>
      </c>
    </row>
    <row r="161" spans="33:43">
      <c r="AG161" s="20" t="s">
        <v>9</v>
      </c>
      <c r="AH161" s="20" t="s">
        <v>120</v>
      </c>
      <c r="AI161" s="54">
        <v>116</v>
      </c>
      <c r="AJ161" s="54">
        <v>116</v>
      </c>
      <c r="AK161" s="54">
        <v>116</v>
      </c>
      <c r="AM161" s="53" t="s">
        <v>146</v>
      </c>
      <c r="AN161" s="20" t="s">
        <v>120</v>
      </c>
      <c r="AO161" s="47">
        <v>0</v>
      </c>
      <c r="AP161" s="47">
        <v>0</v>
      </c>
      <c r="AQ161" s="47">
        <v>0</v>
      </c>
    </row>
    <row r="162" spans="33:43">
      <c r="AG162" s="53" t="s">
        <v>146</v>
      </c>
      <c r="AH162" s="20" t="s">
        <v>120</v>
      </c>
      <c r="AI162" s="54">
        <v>116</v>
      </c>
      <c r="AJ162" s="54">
        <v>116</v>
      </c>
      <c r="AK162" s="54">
        <v>116</v>
      </c>
      <c r="AM162" s="53" t="s">
        <v>21</v>
      </c>
      <c r="AN162" s="20" t="s">
        <v>120</v>
      </c>
      <c r="AO162" s="47">
        <v>0</v>
      </c>
      <c r="AP162" s="47">
        <v>0</v>
      </c>
      <c r="AQ162" s="47">
        <v>0</v>
      </c>
    </row>
    <row r="163" spans="33:43">
      <c r="AG163" s="20" t="s">
        <v>13</v>
      </c>
      <c r="AH163" s="20" t="s">
        <v>121</v>
      </c>
      <c r="AI163" s="41">
        <v>0</v>
      </c>
      <c r="AJ163" s="41">
        <v>0</v>
      </c>
      <c r="AK163" s="41">
        <v>0</v>
      </c>
      <c r="AM163" s="20" t="s">
        <v>5</v>
      </c>
      <c r="AN163" s="20" t="s">
        <v>121</v>
      </c>
      <c r="AO163" s="47">
        <v>0</v>
      </c>
      <c r="AP163" s="47">
        <v>0</v>
      </c>
      <c r="AQ163" s="47">
        <v>0</v>
      </c>
    </row>
    <row r="164" spans="33:43">
      <c r="AG164" s="20" t="s">
        <v>7</v>
      </c>
      <c r="AH164" s="20" t="s">
        <v>121</v>
      </c>
      <c r="AI164" s="54">
        <v>116</v>
      </c>
      <c r="AJ164" s="54">
        <v>116</v>
      </c>
      <c r="AK164" s="54">
        <v>116</v>
      </c>
      <c r="AM164" s="20" t="s">
        <v>6</v>
      </c>
      <c r="AN164" s="20" t="s">
        <v>121</v>
      </c>
      <c r="AO164" s="47">
        <v>0</v>
      </c>
      <c r="AP164" s="47">
        <v>0</v>
      </c>
      <c r="AQ164" s="47">
        <v>0</v>
      </c>
    </row>
    <row r="165" spans="33:43">
      <c r="AG165" s="53" t="s">
        <v>84</v>
      </c>
      <c r="AH165" s="20" t="s">
        <v>121</v>
      </c>
      <c r="AI165" s="41">
        <v>0</v>
      </c>
      <c r="AJ165" s="41">
        <v>0</v>
      </c>
      <c r="AK165" s="41">
        <v>0</v>
      </c>
      <c r="AM165" s="20" t="s">
        <v>7</v>
      </c>
      <c r="AN165" s="20" t="s">
        <v>121</v>
      </c>
      <c r="AO165" s="47">
        <v>0</v>
      </c>
      <c r="AP165" s="47">
        <v>0</v>
      </c>
      <c r="AQ165" s="47">
        <v>0</v>
      </c>
    </row>
    <row r="166" spans="33:43">
      <c r="AG166" s="53" t="s">
        <v>21</v>
      </c>
      <c r="AH166" s="20" t="s">
        <v>121</v>
      </c>
      <c r="AI166" s="41">
        <v>0</v>
      </c>
      <c r="AJ166" s="41">
        <v>0</v>
      </c>
      <c r="AK166" s="41">
        <v>0</v>
      </c>
      <c r="AM166" s="20" t="s">
        <v>8</v>
      </c>
      <c r="AN166" s="20" t="s">
        <v>121</v>
      </c>
      <c r="AO166" s="47">
        <v>0</v>
      </c>
      <c r="AP166" s="47">
        <v>0</v>
      </c>
      <c r="AQ166" s="47">
        <v>0</v>
      </c>
    </row>
    <row r="167" spans="33:43">
      <c r="AG167" s="20" t="s">
        <v>10</v>
      </c>
      <c r="AH167" s="20" t="s">
        <v>121</v>
      </c>
      <c r="AI167" s="61">
        <v>116</v>
      </c>
      <c r="AJ167" s="61">
        <v>116</v>
      </c>
      <c r="AK167" s="61">
        <v>116</v>
      </c>
      <c r="AM167" s="20" t="s">
        <v>9</v>
      </c>
      <c r="AN167" s="20" t="s">
        <v>121</v>
      </c>
      <c r="AO167" s="47">
        <v>0</v>
      </c>
      <c r="AP167" s="47">
        <v>0</v>
      </c>
      <c r="AQ167" s="47">
        <v>0</v>
      </c>
    </row>
    <row r="168" spans="33:43">
      <c r="AG168" s="20" t="s">
        <v>6</v>
      </c>
      <c r="AH168" s="20" t="s">
        <v>121</v>
      </c>
      <c r="AI168" s="54">
        <v>116</v>
      </c>
      <c r="AJ168" s="54">
        <v>116</v>
      </c>
      <c r="AK168" s="54">
        <v>116</v>
      </c>
      <c r="AM168" s="20" t="s">
        <v>10</v>
      </c>
      <c r="AN168" s="20" t="s">
        <v>121</v>
      </c>
      <c r="AO168" s="47">
        <v>0</v>
      </c>
      <c r="AP168" s="47">
        <v>0</v>
      </c>
      <c r="AQ168" s="47">
        <v>0</v>
      </c>
    </row>
    <row r="169" spans="33:43">
      <c r="AG169" s="20" t="s">
        <v>11</v>
      </c>
      <c r="AH169" s="20" t="s">
        <v>121</v>
      </c>
      <c r="AI169" s="41">
        <v>0</v>
      </c>
      <c r="AJ169" s="41">
        <v>0</v>
      </c>
      <c r="AK169" s="41">
        <v>0</v>
      </c>
      <c r="AM169" s="20" t="s">
        <v>11</v>
      </c>
      <c r="AN169" s="20" t="s">
        <v>121</v>
      </c>
      <c r="AO169" s="47">
        <v>0</v>
      </c>
      <c r="AP169" s="47">
        <v>0</v>
      </c>
      <c r="AQ169" s="47">
        <v>0</v>
      </c>
    </row>
    <row r="170" spans="33:43">
      <c r="AG170" s="20" t="s">
        <v>12</v>
      </c>
      <c r="AH170" s="20" t="s">
        <v>121</v>
      </c>
      <c r="AI170" s="41">
        <v>0</v>
      </c>
      <c r="AJ170" s="41">
        <v>0</v>
      </c>
      <c r="AK170" s="41">
        <v>0</v>
      </c>
      <c r="AM170" s="20" t="s">
        <v>12</v>
      </c>
      <c r="AN170" s="20" t="s">
        <v>121</v>
      </c>
      <c r="AO170" s="47">
        <v>0</v>
      </c>
      <c r="AP170" s="47">
        <v>0</v>
      </c>
      <c r="AQ170" s="47">
        <v>0</v>
      </c>
    </row>
    <row r="171" spans="33:43">
      <c r="AG171" s="20" t="s">
        <v>5</v>
      </c>
      <c r="AH171" s="20" t="s">
        <v>121</v>
      </c>
      <c r="AI171" s="54">
        <v>116</v>
      </c>
      <c r="AJ171" s="54">
        <v>116</v>
      </c>
      <c r="AK171" s="54">
        <v>116</v>
      </c>
      <c r="AM171" s="20" t="s">
        <v>13</v>
      </c>
      <c r="AN171" s="20" t="s">
        <v>121</v>
      </c>
      <c r="AO171" s="47">
        <v>0</v>
      </c>
      <c r="AP171" s="47">
        <v>0</v>
      </c>
      <c r="AQ171" s="47">
        <v>0</v>
      </c>
    </row>
    <row r="172" spans="33:43">
      <c r="AG172" s="20" t="s">
        <v>14</v>
      </c>
      <c r="AH172" s="20" t="s">
        <v>121</v>
      </c>
      <c r="AI172" s="41">
        <v>0</v>
      </c>
      <c r="AJ172" s="41">
        <v>0</v>
      </c>
      <c r="AK172" s="41">
        <v>0</v>
      </c>
      <c r="AM172" s="20" t="s">
        <v>14</v>
      </c>
      <c r="AN172" s="20" t="s">
        <v>121</v>
      </c>
      <c r="AO172" s="47">
        <v>0</v>
      </c>
      <c r="AP172" s="47">
        <v>0</v>
      </c>
      <c r="AQ172" s="47">
        <v>0</v>
      </c>
    </row>
    <row r="173" spans="33:43">
      <c r="AG173" s="20" t="s">
        <v>16</v>
      </c>
      <c r="AH173" s="20" t="s">
        <v>121</v>
      </c>
      <c r="AI173" s="54">
        <v>232</v>
      </c>
      <c r="AJ173" s="54">
        <v>232</v>
      </c>
      <c r="AK173" s="54">
        <v>232</v>
      </c>
      <c r="AM173" s="20" t="s">
        <v>15</v>
      </c>
      <c r="AN173" s="20" t="s">
        <v>121</v>
      </c>
      <c r="AO173" s="47">
        <v>0</v>
      </c>
      <c r="AP173" s="47">
        <v>0</v>
      </c>
      <c r="AQ173" s="47">
        <v>0</v>
      </c>
    </row>
    <row r="174" spans="33:43">
      <c r="AG174" s="53" t="s">
        <v>19</v>
      </c>
      <c r="AH174" s="20" t="s">
        <v>121</v>
      </c>
      <c r="AI174" s="54">
        <v>232</v>
      </c>
      <c r="AJ174" s="54">
        <v>232</v>
      </c>
      <c r="AK174" s="54">
        <v>232</v>
      </c>
      <c r="AM174" s="20" t="s">
        <v>16</v>
      </c>
      <c r="AN174" s="20" t="s">
        <v>121</v>
      </c>
      <c r="AO174" s="47">
        <v>0</v>
      </c>
      <c r="AP174" s="47">
        <v>0</v>
      </c>
      <c r="AQ174" s="47">
        <v>0</v>
      </c>
    </row>
    <row r="175" spans="33:43">
      <c r="AG175" s="53" t="s">
        <v>20</v>
      </c>
      <c r="AH175" s="20" t="s">
        <v>121</v>
      </c>
      <c r="AI175" s="54">
        <v>116</v>
      </c>
      <c r="AJ175" s="54">
        <v>116</v>
      </c>
      <c r="AK175" s="54">
        <v>116</v>
      </c>
      <c r="AM175" s="20" t="s">
        <v>17</v>
      </c>
      <c r="AN175" s="20" t="s">
        <v>121</v>
      </c>
      <c r="AO175" s="47">
        <v>0</v>
      </c>
      <c r="AP175" s="47">
        <v>0</v>
      </c>
      <c r="AQ175" s="47">
        <v>0</v>
      </c>
    </row>
    <row r="176" spans="33:43">
      <c r="AG176" s="20" t="s">
        <v>8</v>
      </c>
      <c r="AH176" s="20" t="s">
        <v>121</v>
      </c>
      <c r="AI176" s="54">
        <v>116</v>
      </c>
      <c r="AJ176" s="54">
        <v>116</v>
      </c>
      <c r="AK176" s="54">
        <v>116</v>
      </c>
      <c r="AM176" s="20" t="s">
        <v>18</v>
      </c>
      <c r="AN176" s="20" t="s">
        <v>121</v>
      </c>
      <c r="AO176" s="47">
        <v>0</v>
      </c>
      <c r="AP176" s="47">
        <v>0</v>
      </c>
      <c r="AQ176" s="47">
        <v>0</v>
      </c>
    </row>
    <row r="177" spans="33:43">
      <c r="AG177" s="53" t="s">
        <v>85</v>
      </c>
      <c r="AH177" s="20" t="s">
        <v>121</v>
      </c>
      <c r="AI177" s="41">
        <v>0</v>
      </c>
      <c r="AJ177" s="41">
        <v>0</v>
      </c>
      <c r="AK177" s="41">
        <v>0</v>
      </c>
      <c r="AM177" s="53" t="s">
        <v>19</v>
      </c>
      <c r="AN177" s="20" t="s">
        <v>121</v>
      </c>
      <c r="AO177" s="47">
        <v>0</v>
      </c>
      <c r="AP177" s="47">
        <v>0</v>
      </c>
      <c r="AQ177" s="47">
        <v>0</v>
      </c>
    </row>
    <row r="178" spans="33:43">
      <c r="AG178" s="20" t="s">
        <v>17</v>
      </c>
      <c r="AH178" s="20" t="s">
        <v>121</v>
      </c>
      <c r="AI178" s="54">
        <v>232</v>
      </c>
      <c r="AJ178" s="54">
        <v>232</v>
      </c>
      <c r="AK178" s="54">
        <v>232</v>
      </c>
      <c r="AM178" s="53" t="s">
        <v>20</v>
      </c>
      <c r="AN178" s="20" t="s">
        <v>121</v>
      </c>
      <c r="AO178" s="47">
        <v>0</v>
      </c>
      <c r="AP178" s="47">
        <v>0</v>
      </c>
      <c r="AQ178" s="47">
        <v>0</v>
      </c>
    </row>
    <row r="179" spans="33:43">
      <c r="AG179" s="20" t="s">
        <v>18</v>
      </c>
      <c r="AH179" s="20" t="s">
        <v>121</v>
      </c>
      <c r="AI179" s="54">
        <v>116</v>
      </c>
      <c r="AJ179" s="54">
        <v>116</v>
      </c>
      <c r="AK179" s="54">
        <v>116</v>
      </c>
      <c r="AM179" s="53" t="s">
        <v>84</v>
      </c>
      <c r="AN179" s="20" t="s">
        <v>121</v>
      </c>
      <c r="AO179" s="47">
        <v>0</v>
      </c>
      <c r="AP179" s="47">
        <v>0</v>
      </c>
      <c r="AQ179" s="47">
        <v>0</v>
      </c>
    </row>
    <row r="180" spans="33:43">
      <c r="AG180" s="20" t="s">
        <v>15</v>
      </c>
      <c r="AH180" s="20" t="s">
        <v>121</v>
      </c>
      <c r="AI180" s="54">
        <v>232</v>
      </c>
      <c r="AJ180" s="54">
        <v>232</v>
      </c>
      <c r="AK180" s="54">
        <v>232</v>
      </c>
      <c r="AM180" s="53" t="s">
        <v>85</v>
      </c>
      <c r="AN180" s="20" t="s">
        <v>121</v>
      </c>
      <c r="AO180" s="47">
        <v>0</v>
      </c>
      <c r="AP180" s="47">
        <v>0</v>
      </c>
      <c r="AQ180" s="47">
        <v>0</v>
      </c>
    </row>
    <row r="181" spans="33:43">
      <c r="AG181" s="20" t="s">
        <v>9</v>
      </c>
      <c r="AH181" s="20" t="s">
        <v>121</v>
      </c>
      <c r="AI181" s="54">
        <v>116</v>
      </c>
      <c r="AJ181" s="54">
        <v>116</v>
      </c>
      <c r="AK181" s="54">
        <v>116</v>
      </c>
      <c r="AM181" s="53" t="s">
        <v>146</v>
      </c>
      <c r="AN181" s="20" t="s">
        <v>121</v>
      </c>
      <c r="AO181" s="47">
        <v>0</v>
      </c>
      <c r="AP181" s="47">
        <v>0</v>
      </c>
      <c r="AQ181" s="47">
        <v>0</v>
      </c>
    </row>
    <row r="182" spans="33:43">
      <c r="AG182" s="53" t="s">
        <v>146</v>
      </c>
      <c r="AH182" s="20" t="s">
        <v>121</v>
      </c>
      <c r="AI182" s="54">
        <v>116</v>
      </c>
      <c r="AJ182" s="54">
        <v>116</v>
      </c>
      <c r="AK182" s="54">
        <v>116</v>
      </c>
      <c r="AM182" s="53" t="s">
        <v>21</v>
      </c>
      <c r="AN182" s="20" t="s">
        <v>121</v>
      </c>
      <c r="AO182" s="47">
        <v>0</v>
      </c>
      <c r="AP182" s="47">
        <v>0</v>
      </c>
      <c r="AQ182" s="47">
        <v>0</v>
      </c>
    </row>
    <row r="183" spans="33:43">
      <c r="AG183" s="20" t="s">
        <v>13</v>
      </c>
      <c r="AH183" s="20" t="s">
        <v>122</v>
      </c>
      <c r="AI183" s="41">
        <v>0</v>
      </c>
      <c r="AJ183" s="41">
        <v>0</v>
      </c>
      <c r="AK183" s="41">
        <v>0</v>
      </c>
      <c r="AM183" s="20" t="s">
        <v>5</v>
      </c>
      <c r="AN183" s="20" t="s">
        <v>122</v>
      </c>
      <c r="AO183" s="47">
        <v>0</v>
      </c>
      <c r="AP183" s="47">
        <v>0</v>
      </c>
      <c r="AQ183" s="47">
        <v>0</v>
      </c>
    </row>
    <row r="184" spans="33:43">
      <c r="AG184" s="20" t="s">
        <v>7</v>
      </c>
      <c r="AH184" s="20" t="s">
        <v>122</v>
      </c>
      <c r="AI184" s="54">
        <v>116</v>
      </c>
      <c r="AJ184" s="54">
        <v>116</v>
      </c>
      <c r="AK184" s="54">
        <v>116</v>
      </c>
      <c r="AM184" s="20" t="s">
        <v>6</v>
      </c>
      <c r="AN184" s="20" t="s">
        <v>122</v>
      </c>
      <c r="AO184" s="47">
        <v>0</v>
      </c>
      <c r="AP184" s="47">
        <v>0</v>
      </c>
      <c r="AQ184" s="47">
        <v>0</v>
      </c>
    </row>
    <row r="185" spans="33:43">
      <c r="AG185" s="53" t="s">
        <v>84</v>
      </c>
      <c r="AH185" s="20" t="s">
        <v>122</v>
      </c>
      <c r="AI185" s="41">
        <v>0</v>
      </c>
      <c r="AJ185" s="41">
        <v>0</v>
      </c>
      <c r="AK185" s="41">
        <v>0</v>
      </c>
      <c r="AM185" s="20" t="s">
        <v>7</v>
      </c>
      <c r="AN185" s="20" t="s">
        <v>122</v>
      </c>
      <c r="AO185" s="47">
        <v>0</v>
      </c>
      <c r="AP185" s="47">
        <v>0</v>
      </c>
      <c r="AQ185" s="47">
        <v>0</v>
      </c>
    </row>
    <row r="186" spans="33:43">
      <c r="AG186" s="53" t="s">
        <v>21</v>
      </c>
      <c r="AH186" s="20" t="s">
        <v>122</v>
      </c>
      <c r="AI186" s="41">
        <v>0</v>
      </c>
      <c r="AJ186" s="41">
        <v>0</v>
      </c>
      <c r="AK186" s="41">
        <v>0</v>
      </c>
      <c r="AM186" s="20" t="s">
        <v>8</v>
      </c>
      <c r="AN186" s="20" t="s">
        <v>122</v>
      </c>
      <c r="AO186" s="47">
        <v>0</v>
      </c>
      <c r="AP186" s="47">
        <v>0</v>
      </c>
      <c r="AQ186" s="47">
        <v>0</v>
      </c>
    </row>
    <row r="187" spans="33:43">
      <c r="AG187" s="20" t="s">
        <v>10</v>
      </c>
      <c r="AH187" s="20" t="s">
        <v>122</v>
      </c>
      <c r="AI187" s="61">
        <v>116</v>
      </c>
      <c r="AJ187" s="61">
        <v>116</v>
      </c>
      <c r="AK187" s="61">
        <v>116</v>
      </c>
      <c r="AM187" s="20" t="s">
        <v>9</v>
      </c>
      <c r="AN187" s="20" t="s">
        <v>122</v>
      </c>
      <c r="AO187" s="47">
        <v>0</v>
      </c>
      <c r="AP187" s="47">
        <v>0</v>
      </c>
      <c r="AQ187" s="47">
        <v>0</v>
      </c>
    </row>
    <row r="188" spans="33:43">
      <c r="AG188" s="20" t="s">
        <v>6</v>
      </c>
      <c r="AH188" s="20" t="s">
        <v>122</v>
      </c>
      <c r="AI188" s="54">
        <v>116</v>
      </c>
      <c r="AJ188" s="54">
        <v>116</v>
      </c>
      <c r="AK188" s="54">
        <v>116</v>
      </c>
      <c r="AM188" s="20" t="s">
        <v>10</v>
      </c>
      <c r="AN188" s="20" t="s">
        <v>122</v>
      </c>
      <c r="AO188" s="47">
        <v>0</v>
      </c>
      <c r="AP188" s="47">
        <v>0</v>
      </c>
      <c r="AQ188" s="47">
        <v>0</v>
      </c>
    </row>
    <row r="189" spans="33:43">
      <c r="AG189" s="20" t="s">
        <v>11</v>
      </c>
      <c r="AH189" s="20" t="s">
        <v>122</v>
      </c>
      <c r="AI189" s="41">
        <v>0</v>
      </c>
      <c r="AJ189" s="41">
        <v>0</v>
      </c>
      <c r="AK189" s="41">
        <v>0</v>
      </c>
      <c r="AM189" s="20" t="s">
        <v>11</v>
      </c>
      <c r="AN189" s="20" t="s">
        <v>122</v>
      </c>
      <c r="AO189" s="47">
        <v>0</v>
      </c>
      <c r="AP189" s="47">
        <v>0</v>
      </c>
      <c r="AQ189" s="47">
        <v>0</v>
      </c>
    </row>
    <row r="190" spans="33:43">
      <c r="AG190" s="20" t="s">
        <v>12</v>
      </c>
      <c r="AH190" s="20" t="s">
        <v>122</v>
      </c>
      <c r="AI190" s="41">
        <v>0</v>
      </c>
      <c r="AJ190" s="41">
        <v>0</v>
      </c>
      <c r="AK190" s="41">
        <v>0</v>
      </c>
      <c r="AM190" s="20" t="s">
        <v>12</v>
      </c>
      <c r="AN190" s="20" t="s">
        <v>122</v>
      </c>
      <c r="AO190" s="47">
        <v>0</v>
      </c>
      <c r="AP190" s="47">
        <v>0</v>
      </c>
      <c r="AQ190" s="47">
        <v>0</v>
      </c>
    </row>
    <row r="191" spans="33:43">
      <c r="AG191" s="20" t="s">
        <v>5</v>
      </c>
      <c r="AH191" s="20" t="s">
        <v>122</v>
      </c>
      <c r="AI191" s="54">
        <v>116</v>
      </c>
      <c r="AJ191" s="54">
        <v>116</v>
      </c>
      <c r="AK191" s="54">
        <v>116</v>
      </c>
      <c r="AM191" s="20" t="s">
        <v>13</v>
      </c>
      <c r="AN191" s="20" t="s">
        <v>122</v>
      </c>
      <c r="AO191" s="47">
        <v>0</v>
      </c>
      <c r="AP191" s="47">
        <v>0</v>
      </c>
      <c r="AQ191" s="47">
        <v>0</v>
      </c>
    </row>
    <row r="192" spans="33:43">
      <c r="AG192" s="20" t="s">
        <v>14</v>
      </c>
      <c r="AH192" s="20" t="s">
        <v>122</v>
      </c>
      <c r="AI192" s="41">
        <v>0</v>
      </c>
      <c r="AJ192" s="41">
        <v>0</v>
      </c>
      <c r="AK192" s="41">
        <v>0</v>
      </c>
      <c r="AM192" s="20" t="s">
        <v>14</v>
      </c>
      <c r="AN192" s="20" t="s">
        <v>122</v>
      </c>
      <c r="AO192" s="47">
        <v>0</v>
      </c>
      <c r="AP192" s="47">
        <v>0</v>
      </c>
      <c r="AQ192" s="47">
        <v>0</v>
      </c>
    </row>
    <row r="193" spans="33:43">
      <c r="AG193" s="20" t="s">
        <v>16</v>
      </c>
      <c r="AH193" s="20" t="s">
        <v>122</v>
      </c>
      <c r="AI193" s="54">
        <v>232</v>
      </c>
      <c r="AJ193" s="54">
        <v>232</v>
      </c>
      <c r="AK193" s="54">
        <v>232</v>
      </c>
      <c r="AM193" s="20" t="s">
        <v>15</v>
      </c>
      <c r="AN193" s="20" t="s">
        <v>122</v>
      </c>
      <c r="AO193" s="47">
        <v>0</v>
      </c>
      <c r="AP193" s="47">
        <v>0</v>
      </c>
      <c r="AQ193" s="47">
        <v>0</v>
      </c>
    </row>
    <row r="194" spans="33:43">
      <c r="AG194" s="53" t="s">
        <v>19</v>
      </c>
      <c r="AH194" s="20" t="s">
        <v>122</v>
      </c>
      <c r="AI194" s="54">
        <v>232</v>
      </c>
      <c r="AJ194" s="54">
        <v>232</v>
      </c>
      <c r="AK194" s="54">
        <v>232</v>
      </c>
      <c r="AM194" s="20" t="s">
        <v>16</v>
      </c>
      <c r="AN194" s="20" t="s">
        <v>122</v>
      </c>
      <c r="AO194" s="47">
        <v>0</v>
      </c>
      <c r="AP194" s="47">
        <v>0</v>
      </c>
      <c r="AQ194" s="47">
        <v>0</v>
      </c>
    </row>
    <row r="195" spans="33:43">
      <c r="AG195" s="53" t="s">
        <v>20</v>
      </c>
      <c r="AH195" s="20" t="s">
        <v>122</v>
      </c>
      <c r="AI195" s="54">
        <v>116</v>
      </c>
      <c r="AJ195" s="54">
        <v>116</v>
      </c>
      <c r="AK195" s="54">
        <v>116</v>
      </c>
      <c r="AM195" s="20" t="s">
        <v>17</v>
      </c>
      <c r="AN195" s="20" t="s">
        <v>122</v>
      </c>
      <c r="AO195" s="47">
        <v>0</v>
      </c>
      <c r="AP195" s="47">
        <v>0</v>
      </c>
      <c r="AQ195" s="47">
        <v>0</v>
      </c>
    </row>
    <row r="196" spans="33:43">
      <c r="AG196" s="20" t="s">
        <v>8</v>
      </c>
      <c r="AH196" s="20" t="s">
        <v>122</v>
      </c>
      <c r="AI196" s="54">
        <v>116</v>
      </c>
      <c r="AJ196" s="54">
        <v>116</v>
      </c>
      <c r="AK196" s="54">
        <v>116</v>
      </c>
      <c r="AM196" s="20" t="s">
        <v>18</v>
      </c>
      <c r="AN196" s="20" t="s">
        <v>122</v>
      </c>
      <c r="AO196" s="47">
        <v>0</v>
      </c>
      <c r="AP196" s="47">
        <v>0</v>
      </c>
      <c r="AQ196" s="47">
        <v>0</v>
      </c>
    </row>
    <row r="197" spans="33:43">
      <c r="AG197" s="53" t="s">
        <v>85</v>
      </c>
      <c r="AH197" s="20" t="s">
        <v>122</v>
      </c>
      <c r="AI197" s="41">
        <v>0</v>
      </c>
      <c r="AJ197" s="41">
        <v>0</v>
      </c>
      <c r="AK197" s="41">
        <v>0</v>
      </c>
      <c r="AM197" s="53" t="s">
        <v>19</v>
      </c>
      <c r="AN197" s="20" t="s">
        <v>122</v>
      </c>
      <c r="AO197" s="47">
        <v>0</v>
      </c>
      <c r="AP197" s="47">
        <v>0</v>
      </c>
      <c r="AQ197" s="47">
        <v>0</v>
      </c>
    </row>
    <row r="198" spans="33:43">
      <c r="AG198" s="20" t="s">
        <v>17</v>
      </c>
      <c r="AH198" s="20" t="s">
        <v>122</v>
      </c>
      <c r="AI198" s="54">
        <v>232</v>
      </c>
      <c r="AJ198" s="54">
        <v>232</v>
      </c>
      <c r="AK198" s="54">
        <v>232</v>
      </c>
      <c r="AM198" s="53" t="s">
        <v>20</v>
      </c>
      <c r="AN198" s="20" t="s">
        <v>122</v>
      </c>
      <c r="AO198" s="47">
        <v>0</v>
      </c>
      <c r="AP198" s="47">
        <v>0</v>
      </c>
      <c r="AQ198" s="47">
        <v>0</v>
      </c>
    </row>
    <row r="199" spans="33:43">
      <c r="AG199" s="20" t="s">
        <v>18</v>
      </c>
      <c r="AH199" s="20" t="s">
        <v>122</v>
      </c>
      <c r="AI199" s="54">
        <v>116</v>
      </c>
      <c r="AJ199" s="54">
        <v>116</v>
      </c>
      <c r="AK199" s="54">
        <v>116</v>
      </c>
      <c r="AM199" s="53" t="s">
        <v>84</v>
      </c>
      <c r="AN199" s="20" t="s">
        <v>122</v>
      </c>
      <c r="AO199" s="47">
        <v>0</v>
      </c>
      <c r="AP199" s="47">
        <v>0</v>
      </c>
      <c r="AQ199" s="47">
        <v>0</v>
      </c>
    </row>
    <row r="200" spans="33:43">
      <c r="AG200" s="20" t="s">
        <v>15</v>
      </c>
      <c r="AH200" s="20" t="s">
        <v>122</v>
      </c>
      <c r="AI200" s="54">
        <v>232</v>
      </c>
      <c r="AJ200" s="54">
        <v>232</v>
      </c>
      <c r="AK200" s="54">
        <v>232</v>
      </c>
      <c r="AM200" s="53" t="s">
        <v>85</v>
      </c>
      <c r="AN200" s="20" t="s">
        <v>122</v>
      </c>
      <c r="AO200" s="47">
        <v>0</v>
      </c>
      <c r="AP200" s="47">
        <v>0</v>
      </c>
      <c r="AQ200" s="47">
        <v>0</v>
      </c>
    </row>
    <row r="201" spans="33:43">
      <c r="AG201" s="20" t="s">
        <v>9</v>
      </c>
      <c r="AH201" s="20" t="s">
        <v>122</v>
      </c>
      <c r="AI201" s="54">
        <v>116</v>
      </c>
      <c r="AJ201" s="54">
        <v>116</v>
      </c>
      <c r="AK201" s="54">
        <v>116</v>
      </c>
      <c r="AM201" s="53" t="s">
        <v>146</v>
      </c>
      <c r="AN201" s="20" t="s">
        <v>122</v>
      </c>
      <c r="AO201" s="47">
        <v>0</v>
      </c>
      <c r="AP201" s="47">
        <v>0</v>
      </c>
      <c r="AQ201" s="47">
        <v>0</v>
      </c>
    </row>
    <row r="202" spans="33:43">
      <c r="AG202" s="53" t="s">
        <v>146</v>
      </c>
      <c r="AH202" s="20" t="s">
        <v>122</v>
      </c>
      <c r="AI202" s="54">
        <v>116</v>
      </c>
      <c r="AJ202" s="54">
        <v>116</v>
      </c>
      <c r="AK202" s="54">
        <v>116</v>
      </c>
      <c r="AM202" s="53" t="s">
        <v>21</v>
      </c>
      <c r="AN202" s="20" t="s">
        <v>122</v>
      </c>
      <c r="AO202" s="47">
        <v>0</v>
      </c>
      <c r="AP202" s="47">
        <v>0</v>
      </c>
      <c r="AQ202" s="47">
        <v>0</v>
      </c>
    </row>
  </sheetData>
  <autoFilter ref="AH2:AK202" xr:uid="{ECD10DAE-A5F6-4C61-8083-638E01B2C352}"/>
  <sortState xmlns:xlrd2="http://schemas.microsoft.com/office/spreadsheetml/2017/richdata2" ref="AM3:AQ202">
    <sortCondition ref="AN3:AN202" customList="J1,J2,J3,J4,J5,J6,J7,J8,J9,J10"/>
  </sortState>
  <mergeCells count="13">
    <mergeCell ref="A1:D1"/>
    <mergeCell ref="AH1:AK1"/>
    <mergeCell ref="BL1:BO1"/>
    <mergeCell ref="AN1:AQ1"/>
    <mergeCell ref="AY1:BB1"/>
    <mergeCell ref="BG1:BJ1"/>
    <mergeCell ref="F1:I1"/>
    <mergeCell ref="AB1:AE1"/>
    <mergeCell ref="L1:N1"/>
    <mergeCell ref="O1:Q1"/>
    <mergeCell ref="R1:T1"/>
    <mergeCell ref="U1:W1"/>
    <mergeCell ref="X1:Z1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A86B-7724-406A-9253-30D04A39DE5C}">
  <dimension ref="A1:BA43"/>
  <sheetViews>
    <sheetView zoomScaleNormal="100" workbookViewId="0">
      <selection activeCell="C2" sqref="C2:D2"/>
    </sheetView>
  </sheetViews>
  <sheetFormatPr baseColWidth="10" defaultRowHeight="15"/>
  <cols>
    <col min="6" max="6" width="17.140625" bestFit="1" customWidth="1"/>
    <col min="7" max="7" width="9.7109375" bestFit="1" customWidth="1"/>
    <col min="8" max="8" width="13.5703125" bestFit="1" customWidth="1"/>
    <col min="28" max="28" width="14.42578125" bestFit="1" customWidth="1"/>
    <col min="29" max="29" width="13.5703125" bestFit="1" customWidth="1"/>
    <col min="31" max="31" width="14.42578125" bestFit="1" customWidth="1"/>
    <col min="37" max="37" width="13.5703125" bestFit="1" customWidth="1"/>
    <col min="48" max="48" width="11.5703125" customWidth="1"/>
    <col min="50" max="50" width="17.85546875" bestFit="1" customWidth="1"/>
  </cols>
  <sheetData>
    <row r="1" spans="1:53">
      <c r="A1" s="11" t="s">
        <v>23</v>
      </c>
      <c r="B1" s="11" t="s">
        <v>43</v>
      </c>
      <c r="C1" s="11" t="s">
        <v>44</v>
      </c>
      <c r="D1" s="11" t="s">
        <v>45</v>
      </c>
      <c r="F1" s="72" t="s">
        <v>47</v>
      </c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B1" s="72" t="s">
        <v>46</v>
      </c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X1" s="72" t="s">
        <v>103</v>
      </c>
      <c r="AY1" s="73"/>
      <c r="AZ1" s="73"/>
      <c r="BA1" s="73"/>
    </row>
    <row r="2" spans="1:53">
      <c r="A2" s="10" t="s">
        <v>5</v>
      </c>
      <c r="B2" s="29">
        <f>ROUND(Fechas!M3,0)</f>
        <v>213</v>
      </c>
      <c r="C2" s="1">
        <f>+Fechas!J3</f>
        <v>-60</v>
      </c>
      <c r="D2" s="1">
        <f>+Fechas!L3</f>
        <v>0</v>
      </c>
      <c r="F2" s="31"/>
      <c r="G2" s="20" t="s">
        <v>5</v>
      </c>
      <c r="H2" s="20" t="s">
        <v>6</v>
      </c>
      <c r="I2" s="20" t="s">
        <v>7</v>
      </c>
      <c r="J2" s="20" t="s">
        <v>8</v>
      </c>
      <c r="K2" s="20" t="s">
        <v>9</v>
      </c>
      <c r="L2" s="20" t="s">
        <v>10</v>
      </c>
      <c r="M2" s="20" t="s">
        <v>11</v>
      </c>
      <c r="N2" s="20" t="s">
        <v>12</v>
      </c>
      <c r="O2" s="20" t="s">
        <v>13</v>
      </c>
      <c r="P2" s="20" t="s">
        <v>14</v>
      </c>
      <c r="Q2" s="20" t="s">
        <v>15</v>
      </c>
      <c r="R2" s="20" t="s">
        <v>16</v>
      </c>
      <c r="S2" s="32" t="s">
        <v>17</v>
      </c>
      <c r="T2" s="32" t="s">
        <v>18</v>
      </c>
      <c r="U2" s="30" t="s">
        <v>19</v>
      </c>
      <c r="V2" s="30" t="s">
        <v>20</v>
      </c>
      <c r="W2" s="30" t="s">
        <v>84</v>
      </c>
      <c r="X2" s="30" t="s">
        <v>85</v>
      </c>
      <c r="Y2" s="30" t="s">
        <v>146</v>
      </c>
      <c r="Z2" s="30" t="s">
        <v>21</v>
      </c>
      <c r="AB2" s="2"/>
      <c r="AC2" s="10" t="s">
        <v>5</v>
      </c>
      <c r="AD2" s="10" t="s">
        <v>6</v>
      </c>
      <c r="AE2" s="10" t="s">
        <v>7</v>
      </c>
      <c r="AF2" s="10" t="s">
        <v>8</v>
      </c>
      <c r="AG2" s="10" t="s">
        <v>9</v>
      </c>
      <c r="AH2" s="10" t="s">
        <v>10</v>
      </c>
      <c r="AI2" s="10" t="s">
        <v>11</v>
      </c>
      <c r="AJ2" s="10" t="s">
        <v>12</v>
      </c>
      <c r="AK2" s="10" t="s">
        <v>13</v>
      </c>
      <c r="AL2" s="10" t="s">
        <v>14</v>
      </c>
      <c r="AM2" s="10" t="s">
        <v>15</v>
      </c>
      <c r="AN2" s="10" t="s">
        <v>16</v>
      </c>
      <c r="AO2" s="17" t="s">
        <v>17</v>
      </c>
      <c r="AP2" s="17" t="s">
        <v>18</v>
      </c>
      <c r="AQ2" s="18" t="s">
        <v>19</v>
      </c>
      <c r="AR2" s="18" t="s">
        <v>20</v>
      </c>
      <c r="AS2" s="18" t="s">
        <v>84</v>
      </c>
      <c r="AT2" s="18" t="s">
        <v>85</v>
      </c>
      <c r="AU2" s="18" t="s">
        <v>146</v>
      </c>
      <c r="AV2" s="18" t="s">
        <v>21</v>
      </c>
      <c r="AX2" s="31"/>
      <c r="AY2" s="20" t="s">
        <v>104</v>
      </c>
      <c r="AZ2" s="20" t="s">
        <v>105</v>
      </c>
      <c r="BA2" s="20" t="s">
        <v>106</v>
      </c>
    </row>
    <row r="3" spans="1:53">
      <c r="A3" s="10" t="s">
        <v>6</v>
      </c>
      <c r="B3" s="29">
        <f>ROUND(Fechas!M4,0)</f>
        <v>213</v>
      </c>
      <c r="C3" s="1">
        <f>+Fechas!J4</f>
        <v>-60</v>
      </c>
      <c r="D3" s="1">
        <f>+Fechas!L4</f>
        <v>0</v>
      </c>
      <c r="F3" s="20" t="s">
        <v>5</v>
      </c>
      <c r="G3" s="2">
        <v>0</v>
      </c>
      <c r="H3" s="2">
        <v>30</v>
      </c>
      <c r="I3" s="2">
        <v>30</v>
      </c>
      <c r="J3" s="2">
        <v>30</v>
      </c>
      <c r="K3" s="2">
        <v>30</v>
      </c>
      <c r="L3" s="2">
        <v>30</v>
      </c>
      <c r="M3" s="2">
        <v>30</v>
      </c>
      <c r="N3" s="2">
        <v>30</v>
      </c>
      <c r="O3" s="2">
        <v>30</v>
      </c>
      <c r="P3" s="2">
        <v>30</v>
      </c>
      <c r="Q3" s="2">
        <v>30</v>
      </c>
      <c r="R3" s="2">
        <v>30</v>
      </c>
      <c r="S3" s="2">
        <v>30</v>
      </c>
      <c r="T3" s="2">
        <v>0</v>
      </c>
      <c r="U3" s="2">
        <v>0</v>
      </c>
      <c r="V3" s="2">
        <v>30</v>
      </c>
      <c r="W3" s="2">
        <v>-20</v>
      </c>
      <c r="X3" s="2">
        <v>-20</v>
      </c>
      <c r="Y3" s="2">
        <v>30</v>
      </c>
      <c r="Z3" s="2">
        <v>0</v>
      </c>
      <c r="AB3" s="43" t="s">
        <v>5</v>
      </c>
      <c r="AC3" s="42">
        <v>0</v>
      </c>
      <c r="AD3" s="42">
        <v>1</v>
      </c>
      <c r="AE3" s="42">
        <v>1</v>
      </c>
      <c r="AF3" s="42">
        <v>1</v>
      </c>
      <c r="AG3" s="42">
        <v>1</v>
      </c>
      <c r="AH3" s="42">
        <v>1</v>
      </c>
      <c r="AI3" s="42">
        <v>1</v>
      </c>
      <c r="AJ3" s="42">
        <v>1</v>
      </c>
      <c r="AK3" s="42">
        <v>1</v>
      </c>
      <c r="AL3" s="42">
        <v>1</v>
      </c>
      <c r="AM3" s="42">
        <v>1</v>
      </c>
      <c r="AN3" s="42">
        <v>1</v>
      </c>
      <c r="AO3" s="42">
        <v>1</v>
      </c>
      <c r="AP3" s="42">
        <v>1</v>
      </c>
      <c r="AQ3" s="42">
        <v>1</v>
      </c>
      <c r="AR3" s="42">
        <v>1</v>
      </c>
      <c r="AS3" s="42">
        <v>1</v>
      </c>
      <c r="AT3" s="42">
        <v>1</v>
      </c>
      <c r="AU3" s="42">
        <v>1</v>
      </c>
      <c r="AV3" s="42">
        <v>1</v>
      </c>
      <c r="AX3" s="20" t="s">
        <v>5</v>
      </c>
      <c r="AY3" s="2">
        <v>1</v>
      </c>
      <c r="AZ3" s="2">
        <v>1</v>
      </c>
      <c r="BA3" s="2">
        <v>1</v>
      </c>
    </row>
    <row r="4" spans="1:53">
      <c r="A4" s="10" t="s">
        <v>7</v>
      </c>
      <c r="B4" s="29">
        <f>ROUND(Fechas!M5,0)</f>
        <v>183</v>
      </c>
      <c r="C4" s="1">
        <f>+Fechas!J5</f>
        <v>-30</v>
      </c>
      <c r="D4" s="1">
        <f>+Fechas!L5</f>
        <v>30</v>
      </c>
      <c r="F4" s="20" t="s">
        <v>6</v>
      </c>
      <c r="G4" s="2">
        <v>30</v>
      </c>
      <c r="H4" s="2">
        <v>0</v>
      </c>
      <c r="I4" s="2">
        <v>30</v>
      </c>
      <c r="J4" s="2">
        <v>30</v>
      </c>
      <c r="K4" s="2">
        <v>30</v>
      </c>
      <c r="L4" s="2">
        <v>30</v>
      </c>
      <c r="M4" s="2">
        <v>30</v>
      </c>
      <c r="N4" s="2">
        <v>30</v>
      </c>
      <c r="O4" s="2">
        <v>30</v>
      </c>
      <c r="P4" s="2">
        <v>30</v>
      </c>
      <c r="Q4" s="2">
        <v>30</v>
      </c>
      <c r="R4" s="2">
        <v>30</v>
      </c>
      <c r="S4" s="2">
        <v>30</v>
      </c>
      <c r="T4" s="2">
        <v>0</v>
      </c>
      <c r="U4" s="2">
        <v>0</v>
      </c>
      <c r="V4" s="2">
        <v>30</v>
      </c>
      <c r="W4" s="2">
        <v>-20</v>
      </c>
      <c r="X4" s="2">
        <v>-20</v>
      </c>
      <c r="Y4" s="2">
        <v>30</v>
      </c>
      <c r="Z4" s="2">
        <v>0</v>
      </c>
      <c r="AB4" s="43" t="s">
        <v>6</v>
      </c>
      <c r="AC4" s="42">
        <v>1</v>
      </c>
      <c r="AD4" s="42">
        <v>0</v>
      </c>
      <c r="AE4" s="42">
        <v>1</v>
      </c>
      <c r="AF4" s="42">
        <v>1</v>
      </c>
      <c r="AG4" s="42">
        <v>1</v>
      </c>
      <c r="AH4" s="42">
        <v>1</v>
      </c>
      <c r="AI4" s="42">
        <v>1</v>
      </c>
      <c r="AJ4" s="42">
        <v>1</v>
      </c>
      <c r="AK4" s="42">
        <v>1</v>
      </c>
      <c r="AL4" s="42">
        <v>1</v>
      </c>
      <c r="AM4" s="42">
        <v>1</v>
      </c>
      <c r="AN4" s="42">
        <v>1</v>
      </c>
      <c r="AO4" s="42">
        <v>1</v>
      </c>
      <c r="AP4" s="42">
        <v>1</v>
      </c>
      <c r="AQ4" s="42">
        <v>1</v>
      </c>
      <c r="AR4" s="42">
        <v>1</v>
      </c>
      <c r="AS4" s="42">
        <v>1</v>
      </c>
      <c r="AT4" s="42">
        <v>1</v>
      </c>
      <c r="AU4" s="42">
        <v>1</v>
      </c>
      <c r="AV4" s="42">
        <v>1</v>
      </c>
      <c r="AX4" s="20" t="s">
        <v>6</v>
      </c>
      <c r="AY4" s="2">
        <v>1</v>
      </c>
      <c r="AZ4" s="2">
        <v>1</v>
      </c>
      <c r="BA4" s="2">
        <v>1</v>
      </c>
    </row>
    <row r="5" spans="1:53">
      <c r="A5" s="10" t="s">
        <v>8</v>
      </c>
      <c r="B5" s="29">
        <f>ROUND(Fechas!M6,0)</f>
        <v>183</v>
      </c>
      <c r="C5" s="1">
        <f>+Fechas!J6</f>
        <v>-60</v>
      </c>
      <c r="D5" s="1">
        <f>+Fechas!L6</f>
        <v>30</v>
      </c>
      <c r="F5" s="20" t="s">
        <v>7</v>
      </c>
      <c r="G5" s="2">
        <v>30</v>
      </c>
      <c r="H5" s="2">
        <v>30</v>
      </c>
      <c r="I5" s="2">
        <v>0</v>
      </c>
      <c r="J5" s="2">
        <v>30</v>
      </c>
      <c r="K5" s="2">
        <v>30</v>
      </c>
      <c r="L5" s="2">
        <v>30</v>
      </c>
      <c r="M5" s="2">
        <v>30</v>
      </c>
      <c r="N5" s="2">
        <v>30</v>
      </c>
      <c r="O5" s="2">
        <v>30</v>
      </c>
      <c r="P5" s="2">
        <v>30</v>
      </c>
      <c r="Q5" s="2">
        <v>30</v>
      </c>
      <c r="R5" s="2">
        <v>30</v>
      </c>
      <c r="S5" s="2">
        <v>30</v>
      </c>
      <c r="T5" s="2">
        <v>0</v>
      </c>
      <c r="U5" s="2">
        <v>0</v>
      </c>
      <c r="V5" s="2">
        <v>30</v>
      </c>
      <c r="W5" s="2">
        <v>-20</v>
      </c>
      <c r="X5" s="2">
        <v>-20</v>
      </c>
      <c r="Y5" s="2">
        <v>30</v>
      </c>
      <c r="Z5" s="2">
        <v>0</v>
      </c>
      <c r="AB5" s="43" t="s">
        <v>7</v>
      </c>
      <c r="AC5" s="42">
        <v>1</v>
      </c>
      <c r="AD5" s="42">
        <v>1</v>
      </c>
      <c r="AE5" s="42">
        <v>0</v>
      </c>
      <c r="AF5" s="42">
        <v>1</v>
      </c>
      <c r="AG5" s="42">
        <v>1</v>
      </c>
      <c r="AH5" s="42">
        <v>1</v>
      </c>
      <c r="AI5" s="42">
        <v>1</v>
      </c>
      <c r="AJ5" s="42">
        <v>1</v>
      </c>
      <c r="AK5" s="42">
        <v>1</v>
      </c>
      <c r="AL5" s="42">
        <v>1</v>
      </c>
      <c r="AM5" s="42">
        <v>1</v>
      </c>
      <c r="AN5" s="42">
        <v>1</v>
      </c>
      <c r="AO5" s="42">
        <v>1</v>
      </c>
      <c r="AP5" s="42">
        <v>1</v>
      </c>
      <c r="AQ5" s="42">
        <v>1</v>
      </c>
      <c r="AR5" s="42">
        <v>1</v>
      </c>
      <c r="AS5" s="42">
        <v>1</v>
      </c>
      <c r="AT5" s="42">
        <v>1</v>
      </c>
      <c r="AU5" s="42">
        <v>1</v>
      </c>
      <c r="AV5" s="42">
        <v>1</v>
      </c>
      <c r="AX5" s="20" t="s">
        <v>7</v>
      </c>
      <c r="AY5" s="2">
        <v>1</v>
      </c>
      <c r="AZ5" s="2">
        <v>1</v>
      </c>
      <c r="BA5" s="2">
        <v>1</v>
      </c>
    </row>
    <row r="6" spans="1:53">
      <c r="A6" s="10" t="s">
        <v>9</v>
      </c>
      <c r="B6" s="29">
        <f>ROUND(Fechas!M7,0)</f>
        <v>183</v>
      </c>
      <c r="C6" s="1">
        <f>+Fechas!J7</f>
        <v>-30</v>
      </c>
      <c r="D6" s="1">
        <f>+Fechas!L7</f>
        <v>45</v>
      </c>
      <c r="F6" s="20" t="s">
        <v>8</v>
      </c>
      <c r="G6" s="2">
        <v>30</v>
      </c>
      <c r="H6" s="2">
        <v>30</v>
      </c>
      <c r="I6" s="2">
        <v>30</v>
      </c>
      <c r="J6" s="2">
        <v>0</v>
      </c>
      <c r="K6" s="2">
        <v>30</v>
      </c>
      <c r="L6" s="2">
        <v>30</v>
      </c>
      <c r="M6" s="2">
        <v>30</v>
      </c>
      <c r="N6" s="2">
        <v>30</v>
      </c>
      <c r="O6" s="2">
        <v>30</v>
      </c>
      <c r="P6" s="2">
        <v>30</v>
      </c>
      <c r="Q6" s="2">
        <v>30</v>
      </c>
      <c r="R6" s="2">
        <v>30</v>
      </c>
      <c r="S6" s="2">
        <v>30</v>
      </c>
      <c r="T6" s="2">
        <v>0</v>
      </c>
      <c r="U6" s="2">
        <v>0</v>
      </c>
      <c r="V6" s="2">
        <v>30</v>
      </c>
      <c r="W6" s="2">
        <v>-20</v>
      </c>
      <c r="X6" s="2">
        <v>-20</v>
      </c>
      <c r="Y6" s="2">
        <v>30</v>
      </c>
      <c r="Z6" s="2">
        <v>0</v>
      </c>
      <c r="AB6" s="43" t="s">
        <v>8</v>
      </c>
      <c r="AC6" s="42">
        <v>1</v>
      </c>
      <c r="AD6" s="42">
        <v>1</v>
      </c>
      <c r="AE6" s="42">
        <v>1</v>
      </c>
      <c r="AF6" s="42">
        <v>0</v>
      </c>
      <c r="AG6" s="42">
        <v>1</v>
      </c>
      <c r="AH6" s="42">
        <v>1</v>
      </c>
      <c r="AI6" s="42">
        <v>1</v>
      </c>
      <c r="AJ6" s="42">
        <v>1</v>
      </c>
      <c r="AK6" s="42">
        <v>1</v>
      </c>
      <c r="AL6" s="42">
        <v>1</v>
      </c>
      <c r="AM6" s="42">
        <v>1</v>
      </c>
      <c r="AN6" s="42">
        <v>1</v>
      </c>
      <c r="AO6" s="42">
        <v>1</v>
      </c>
      <c r="AP6" s="42">
        <v>1</v>
      </c>
      <c r="AQ6" s="42">
        <v>1</v>
      </c>
      <c r="AR6" s="42">
        <v>1</v>
      </c>
      <c r="AS6" s="42">
        <v>1</v>
      </c>
      <c r="AT6" s="42">
        <v>1</v>
      </c>
      <c r="AU6" s="42">
        <v>1</v>
      </c>
      <c r="AV6" s="42">
        <v>1</v>
      </c>
      <c r="AX6" s="20" t="s">
        <v>8</v>
      </c>
      <c r="AY6" s="2">
        <v>1</v>
      </c>
      <c r="AZ6" s="2">
        <v>1</v>
      </c>
      <c r="BA6" s="2">
        <v>1</v>
      </c>
    </row>
    <row r="7" spans="1:53">
      <c r="A7" s="10" t="s">
        <v>10</v>
      </c>
      <c r="B7" s="29">
        <f>ROUND(Fechas!M8,0)</f>
        <v>122</v>
      </c>
      <c r="C7" s="1">
        <f>+Fechas!J8</f>
        <v>-30</v>
      </c>
      <c r="D7" s="1">
        <f>+Fechas!L8</f>
        <v>30</v>
      </c>
      <c r="F7" s="20" t="s">
        <v>9</v>
      </c>
      <c r="G7" s="2">
        <v>30</v>
      </c>
      <c r="H7" s="2">
        <v>30</v>
      </c>
      <c r="I7" s="2">
        <v>30</v>
      </c>
      <c r="J7" s="2">
        <v>30</v>
      </c>
      <c r="K7" s="2">
        <v>0</v>
      </c>
      <c r="L7" s="2">
        <v>30</v>
      </c>
      <c r="M7" s="2">
        <v>30</v>
      </c>
      <c r="N7" s="2">
        <v>30</v>
      </c>
      <c r="O7" s="2">
        <v>30</v>
      </c>
      <c r="P7" s="2">
        <v>30</v>
      </c>
      <c r="Q7" s="2">
        <v>30</v>
      </c>
      <c r="R7" s="2">
        <v>30</v>
      </c>
      <c r="S7" s="2">
        <v>30</v>
      </c>
      <c r="T7" s="2">
        <v>0</v>
      </c>
      <c r="U7" s="2">
        <v>0</v>
      </c>
      <c r="V7" s="2">
        <v>30</v>
      </c>
      <c r="W7" s="2">
        <v>-20</v>
      </c>
      <c r="X7" s="2">
        <v>-20</v>
      </c>
      <c r="Y7" s="2">
        <v>30</v>
      </c>
      <c r="Z7" s="2">
        <v>0</v>
      </c>
      <c r="AB7" s="43" t="s">
        <v>9</v>
      </c>
      <c r="AC7" s="42">
        <v>1</v>
      </c>
      <c r="AD7" s="42">
        <v>1</v>
      </c>
      <c r="AE7" s="42">
        <v>1</v>
      </c>
      <c r="AF7" s="42">
        <v>1</v>
      </c>
      <c r="AG7" s="42">
        <v>0</v>
      </c>
      <c r="AH7" s="42">
        <v>1</v>
      </c>
      <c r="AI7" s="42">
        <v>1</v>
      </c>
      <c r="AJ7" s="42">
        <v>1</v>
      </c>
      <c r="AK7" s="42">
        <v>1</v>
      </c>
      <c r="AL7" s="42">
        <v>1</v>
      </c>
      <c r="AM7" s="42">
        <v>1</v>
      </c>
      <c r="AN7" s="42">
        <v>1</v>
      </c>
      <c r="AO7" s="42">
        <v>1</v>
      </c>
      <c r="AP7" s="42">
        <v>1</v>
      </c>
      <c r="AQ7" s="42">
        <v>1</v>
      </c>
      <c r="AR7" s="42">
        <v>1</v>
      </c>
      <c r="AS7" s="42">
        <v>1</v>
      </c>
      <c r="AT7" s="42">
        <v>1</v>
      </c>
      <c r="AU7" s="42">
        <v>1</v>
      </c>
      <c r="AV7" s="42">
        <v>1</v>
      </c>
      <c r="AX7" s="20" t="s">
        <v>9</v>
      </c>
      <c r="AY7" s="2">
        <v>1</v>
      </c>
      <c r="AZ7" s="2">
        <v>1</v>
      </c>
      <c r="BA7" s="2">
        <v>1</v>
      </c>
    </row>
    <row r="8" spans="1:53">
      <c r="A8" s="10" t="s">
        <v>11</v>
      </c>
      <c r="B8" s="29">
        <f>ROUND(Fechas!M9,0)</f>
        <v>152</v>
      </c>
      <c r="C8" s="1">
        <f>+Fechas!J9</f>
        <v>1</v>
      </c>
      <c r="D8" s="1">
        <f>+Fechas!L9</f>
        <v>61</v>
      </c>
      <c r="F8" s="20" t="s">
        <v>10</v>
      </c>
      <c r="G8" s="2">
        <v>30</v>
      </c>
      <c r="H8" s="2">
        <v>30</v>
      </c>
      <c r="I8" s="2">
        <v>30</v>
      </c>
      <c r="J8" s="2">
        <v>30</v>
      </c>
      <c r="K8" s="2">
        <v>30</v>
      </c>
      <c r="L8" s="2">
        <v>0</v>
      </c>
      <c r="M8" s="2">
        <v>30</v>
      </c>
      <c r="N8" s="2">
        <v>30</v>
      </c>
      <c r="O8" s="2">
        <v>30</v>
      </c>
      <c r="P8" s="2">
        <v>30</v>
      </c>
      <c r="Q8" s="2">
        <v>30</v>
      </c>
      <c r="R8" s="2">
        <v>30</v>
      </c>
      <c r="S8" s="2">
        <v>30</v>
      </c>
      <c r="T8" s="2">
        <v>0</v>
      </c>
      <c r="U8" s="2">
        <v>0</v>
      </c>
      <c r="V8" s="2">
        <v>30</v>
      </c>
      <c r="W8" s="2">
        <v>-20</v>
      </c>
      <c r="X8" s="2">
        <v>-20</v>
      </c>
      <c r="Y8" s="2">
        <v>30</v>
      </c>
      <c r="Z8" s="2">
        <v>0</v>
      </c>
      <c r="AB8" s="43" t="s">
        <v>10</v>
      </c>
      <c r="AC8" s="42">
        <v>1</v>
      </c>
      <c r="AD8" s="42">
        <v>1</v>
      </c>
      <c r="AE8" s="42">
        <v>1</v>
      </c>
      <c r="AF8" s="42">
        <v>1</v>
      </c>
      <c r="AG8" s="42">
        <v>1</v>
      </c>
      <c r="AH8" s="42">
        <v>0</v>
      </c>
      <c r="AI8" s="42">
        <v>1</v>
      </c>
      <c r="AJ8" s="42">
        <v>1</v>
      </c>
      <c r="AK8" s="42">
        <v>1</v>
      </c>
      <c r="AL8" s="42">
        <v>1</v>
      </c>
      <c r="AM8" s="42">
        <v>1</v>
      </c>
      <c r="AN8" s="42">
        <v>1</v>
      </c>
      <c r="AO8" s="42">
        <v>1</v>
      </c>
      <c r="AP8" s="42">
        <v>1</v>
      </c>
      <c r="AQ8" s="42">
        <v>1</v>
      </c>
      <c r="AR8" s="42">
        <v>1</v>
      </c>
      <c r="AS8" s="42">
        <v>1</v>
      </c>
      <c r="AT8" s="42">
        <v>1</v>
      </c>
      <c r="AU8" s="42">
        <v>1</v>
      </c>
      <c r="AV8" s="42">
        <v>1</v>
      </c>
      <c r="AX8" s="20" t="s">
        <v>10</v>
      </c>
      <c r="AY8" s="2">
        <v>1</v>
      </c>
      <c r="AZ8" s="2">
        <v>1</v>
      </c>
      <c r="BA8" s="2">
        <v>1</v>
      </c>
    </row>
    <row r="9" spans="1:53">
      <c r="A9" s="10" t="s">
        <v>12</v>
      </c>
      <c r="B9" s="29">
        <f>ROUND(Fechas!M10,0)</f>
        <v>152</v>
      </c>
      <c r="C9" s="1">
        <f>+Fechas!J10</f>
        <v>1</v>
      </c>
      <c r="D9" s="1">
        <f>+Fechas!L10</f>
        <v>61</v>
      </c>
      <c r="F9" s="20" t="s">
        <v>11</v>
      </c>
      <c r="G9" s="2">
        <v>30</v>
      </c>
      <c r="H9" s="2">
        <v>30</v>
      </c>
      <c r="I9" s="2">
        <v>30</v>
      </c>
      <c r="J9" s="2">
        <v>30</v>
      </c>
      <c r="K9" s="2">
        <v>30</v>
      </c>
      <c r="L9" s="2">
        <v>30</v>
      </c>
      <c r="M9" s="2">
        <v>0</v>
      </c>
      <c r="N9" s="2">
        <v>30</v>
      </c>
      <c r="O9" s="2">
        <v>30</v>
      </c>
      <c r="P9" s="2">
        <v>30</v>
      </c>
      <c r="Q9" s="2">
        <v>30</v>
      </c>
      <c r="R9" s="2">
        <v>30</v>
      </c>
      <c r="S9" s="2">
        <v>30</v>
      </c>
      <c r="T9" s="2">
        <v>0</v>
      </c>
      <c r="U9" s="2">
        <v>0</v>
      </c>
      <c r="V9" s="2">
        <v>30</v>
      </c>
      <c r="W9" s="2">
        <v>-20</v>
      </c>
      <c r="X9" s="2">
        <v>-20</v>
      </c>
      <c r="Y9" s="2">
        <v>30</v>
      </c>
      <c r="Z9" s="2">
        <v>0</v>
      </c>
      <c r="AB9" s="43" t="s">
        <v>11</v>
      </c>
      <c r="AC9" s="42">
        <v>1</v>
      </c>
      <c r="AD9" s="42">
        <v>1</v>
      </c>
      <c r="AE9" s="42">
        <v>1</v>
      </c>
      <c r="AF9" s="42">
        <v>1</v>
      </c>
      <c r="AG9" s="42">
        <v>1</v>
      </c>
      <c r="AH9" s="42">
        <v>1</v>
      </c>
      <c r="AI9" s="42">
        <v>0</v>
      </c>
      <c r="AJ9" s="42">
        <v>1</v>
      </c>
      <c r="AK9" s="42">
        <v>1</v>
      </c>
      <c r="AL9" s="42">
        <v>1</v>
      </c>
      <c r="AM9" s="42">
        <v>1</v>
      </c>
      <c r="AN9" s="42">
        <v>1</v>
      </c>
      <c r="AO9" s="42">
        <v>1</v>
      </c>
      <c r="AP9" s="42">
        <v>1</v>
      </c>
      <c r="AQ9" s="42">
        <v>1</v>
      </c>
      <c r="AR9" s="42">
        <v>1</v>
      </c>
      <c r="AS9" s="42">
        <v>1</v>
      </c>
      <c r="AT9" s="42">
        <v>1</v>
      </c>
      <c r="AU9" s="42">
        <v>1</v>
      </c>
      <c r="AV9" s="42">
        <v>1</v>
      </c>
      <c r="AX9" s="20" t="s">
        <v>11</v>
      </c>
      <c r="AY9" s="2">
        <v>1</v>
      </c>
      <c r="AZ9" s="2">
        <v>1</v>
      </c>
      <c r="BA9" s="2">
        <v>1</v>
      </c>
    </row>
    <row r="10" spans="1:53">
      <c r="A10" s="10" t="s">
        <v>13</v>
      </c>
      <c r="B10" s="29">
        <f>ROUND(Fechas!M11,0)</f>
        <v>152</v>
      </c>
      <c r="C10" s="1">
        <f>+Fechas!J11</f>
        <v>1</v>
      </c>
      <c r="D10" s="1">
        <f>+Fechas!L11</f>
        <v>92</v>
      </c>
      <c r="F10" s="20" t="s">
        <v>12</v>
      </c>
      <c r="G10" s="2">
        <v>30</v>
      </c>
      <c r="H10" s="2">
        <v>30</v>
      </c>
      <c r="I10" s="2">
        <v>30</v>
      </c>
      <c r="J10" s="2">
        <v>30</v>
      </c>
      <c r="K10" s="2">
        <v>30</v>
      </c>
      <c r="L10" s="2">
        <v>30</v>
      </c>
      <c r="M10" s="2">
        <v>30</v>
      </c>
      <c r="N10" s="2">
        <v>0</v>
      </c>
      <c r="O10" s="2">
        <v>30</v>
      </c>
      <c r="P10" s="2">
        <v>30</v>
      </c>
      <c r="Q10" s="2">
        <v>30</v>
      </c>
      <c r="R10" s="2">
        <v>30</v>
      </c>
      <c r="S10" s="2">
        <v>30</v>
      </c>
      <c r="T10" s="2">
        <v>0</v>
      </c>
      <c r="U10" s="2">
        <v>0</v>
      </c>
      <c r="V10" s="2">
        <v>30</v>
      </c>
      <c r="W10" s="2">
        <v>-20</v>
      </c>
      <c r="X10" s="2">
        <v>-20</v>
      </c>
      <c r="Y10" s="2">
        <v>30</v>
      </c>
      <c r="Z10" s="2">
        <v>0</v>
      </c>
      <c r="AB10" s="43" t="s">
        <v>12</v>
      </c>
      <c r="AC10" s="42">
        <v>1</v>
      </c>
      <c r="AD10" s="42">
        <v>1</v>
      </c>
      <c r="AE10" s="42">
        <v>1</v>
      </c>
      <c r="AF10" s="42">
        <v>1</v>
      </c>
      <c r="AG10" s="42">
        <v>1</v>
      </c>
      <c r="AH10" s="42">
        <v>1</v>
      </c>
      <c r="AI10" s="42">
        <v>1</v>
      </c>
      <c r="AJ10" s="42">
        <v>0</v>
      </c>
      <c r="AK10" s="42">
        <v>1</v>
      </c>
      <c r="AL10" s="42">
        <v>1</v>
      </c>
      <c r="AM10" s="42">
        <v>1</v>
      </c>
      <c r="AN10" s="42">
        <v>1</v>
      </c>
      <c r="AO10" s="42">
        <v>1</v>
      </c>
      <c r="AP10" s="42">
        <v>1</v>
      </c>
      <c r="AQ10" s="42">
        <v>1</v>
      </c>
      <c r="AR10" s="42">
        <v>1</v>
      </c>
      <c r="AS10" s="42">
        <v>1</v>
      </c>
      <c r="AT10" s="42">
        <v>1</v>
      </c>
      <c r="AU10" s="42">
        <v>1</v>
      </c>
      <c r="AV10" s="42">
        <v>1</v>
      </c>
      <c r="AX10" s="20" t="s">
        <v>12</v>
      </c>
      <c r="AY10" s="2">
        <v>1</v>
      </c>
      <c r="AZ10" s="2">
        <v>1</v>
      </c>
      <c r="BA10" s="2">
        <v>1</v>
      </c>
    </row>
    <row r="11" spans="1:53">
      <c r="A11" s="10" t="s">
        <v>14</v>
      </c>
      <c r="B11" s="29">
        <f>ROUND(Fechas!M12,0)</f>
        <v>183</v>
      </c>
      <c r="C11" s="1">
        <f>+Fechas!J12</f>
        <v>71</v>
      </c>
      <c r="D11" s="1">
        <f>+Fechas!L12</f>
        <v>122</v>
      </c>
      <c r="F11" s="20" t="s">
        <v>13</v>
      </c>
      <c r="G11" s="2">
        <v>30</v>
      </c>
      <c r="H11" s="2">
        <v>30</v>
      </c>
      <c r="I11" s="2">
        <v>30</v>
      </c>
      <c r="J11" s="2">
        <v>30</v>
      </c>
      <c r="K11" s="2">
        <v>30</v>
      </c>
      <c r="L11" s="2">
        <v>30</v>
      </c>
      <c r="M11" s="2">
        <v>30</v>
      </c>
      <c r="N11" s="2">
        <v>30</v>
      </c>
      <c r="O11" s="2">
        <v>0</v>
      </c>
      <c r="P11" s="2">
        <v>30</v>
      </c>
      <c r="Q11" s="2">
        <v>30</v>
      </c>
      <c r="R11" s="2">
        <v>30</v>
      </c>
      <c r="S11" s="2">
        <v>30</v>
      </c>
      <c r="T11" s="2">
        <v>0</v>
      </c>
      <c r="U11" s="2">
        <v>0</v>
      </c>
      <c r="V11" s="2">
        <v>30</v>
      </c>
      <c r="W11" s="2">
        <v>-20</v>
      </c>
      <c r="X11" s="2">
        <v>-20</v>
      </c>
      <c r="Y11" s="2">
        <v>30</v>
      </c>
      <c r="Z11" s="2">
        <v>0</v>
      </c>
      <c r="AB11" s="43" t="s">
        <v>13</v>
      </c>
      <c r="AC11" s="42">
        <v>1</v>
      </c>
      <c r="AD11" s="42">
        <v>1</v>
      </c>
      <c r="AE11" s="42">
        <v>1</v>
      </c>
      <c r="AF11" s="42">
        <v>1</v>
      </c>
      <c r="AG11" s="42">
        <v>1</v>
      </c>
      <c r="AH11" s="42">
        <v>1</v>
      </c>
      <c r="AI11" s="42">
        <v>1</v>
      </c>
      <c r="AJ11" s="42">
        <v>1</v>
      </c>
      <c r="AK11" s="42">
        <v>0</v>
      </c>
      <c r="AL11" s="42">
        <v>1</v>
      </c>
      <c r="AM11" s="42">
        <v>1</v>
      </c>
      <c r="AN11" s="42">
        <v>1</v>
      </c>
      <c r="AO11" s="42">
        <v>1</v>
      </c>
      <c r="AP11" s="42">
        <v>1</v>
      </c>
      <c r="AQ11" s="42">
        <v>1</v>
      </c>
      <c r="AR11" s="42">
        <v>1</v>
      </c>
      <c r="AS11" s="42">
        <v>1</v>
      </c>
      <c r="AT11" s="42">
        <v>1</v>
      </c>
      <c r="AU11" s="42">
        <v>1</v>
      </c>
      <c r="AV11" s="42">
        <v>1</v>
      </c>
      <c r="AX11" s="20" t="s">
        <v>13</v>
      </c>
      <c r="AY11" s="2">
        <v>1</v>
      </c>
      <c r="AZ11" s="2">
        <v>1</v>
      </c>
      <c r="BA11" s="2">
        <v>1</v>
      </c>
    </row>
    <row r="12" spans="1:53">
      <c r="A12" s="10" t="s">
        <v>15</v>
      </c>
      <c r="B12" s="29">
        <f>ROUND(Fechas!M13,0)</f>
        <v>183</v>
      </c>
      <c r="C12" s="1">
        <f>+Fechas!J13</f>
        <v>107</v>
      </c>
      <c r="D12" s="1">
        <f>+Fechas!L13</f>
        <v>168</v>
      </c>
      <c r="F12" s="20" t="s">
        <v>14</v>
      </c>
      <c r="G12" s="2">
        <v>30</v>
      </c>
      <c r="H12" s="2">
        <v>30</v>
      </c>
      <c r="I12" s="2">
        <v>30</v>
      </c>
      <c r="J12" s="2">
        <v>30</v>
      </c>
      <c r="K12" s="2">
        <v>30</v>
      </c>
      <c r="L12" s="2">
        <v>30</v>
      </c>
      <c r="M12" s="2">
        <v>30</v>
      </c>
      <c r="N12" s="2">
        <v>30</v>
      </c>
      <c r="O12" s="2">
        <v>30</v>
      </c>
      <c r="P12" s="2">
        <v>0</v>
      </c>
      <c r="Q12" s="2">
        <v>30</v>
      </c>
      <c r="R12" s="2">
        <v>30</v>
      </c>
      <c r="S12" s="2">
        <v>30</v>
      </c>
      <c r="T12" s="2">
        <v>0</v>
      </c>
      <c r="U12" s="2">
        <v>0</v>
      </c>
      <c r="V12" s="2">
        <v>30</v>
      </c>
      <c r="W12" s="2">
        <v>-20</v>
      </c>
      <c r="X12" s="2">
        <v>-20</v>
      </c>
      <c r="Y12" s="2">
        <v>30</v>
      </c>
      <c r="Z12" s="2">
        <v>0</v>
      </c>
      <c r="AB12" s="43" t="s">
        <v>14</v>
      </c>
      <c r="AC12" s="42">
        <v>1</v>
      </c>
      <c r="AD12" s="42">
        <v>1</v>
      </c>
      <c r="AE12" s="42">
        <v>1</v>
      </c>
      <c r="AF12" s="42">
        <v>1</v>
      </c>
      <c r="AG12" s="42">
        <v>1</v>
      </c>
      <c r="AH12" s="42">
        <v>1</v>
      </c>
      <c r="AI12" s="42">
        <v>1</v>
      </c>
      <c r="AJ12" s="42">
        <v>1</v>
      </c>
      <c r="AK12" s="42">
        <v>1</v>
      </c>
      <c r="AL12" s="42">
        <v>0</v>
      </c>
      <c r="AM12" s="42">
        <v>1</v>
      </c>
      <c r="AN12" s="42">
        <v>1</v>
      </c>
      <c r="AO12" s="42">
        <v>1</v>
      </c>
      <c r="AP12" s="42">
        <v>1</v>
      </c>
      <c r="AQ12" s="42">
        <v>1</v>
      </c>
      <c r="AR12" s="42">
        <v>1</v>
      </c>
      <c r="AS12" s="42">
        <v>1</v>
      </c>
      <c r="AT12" s="42">
        <v>1</v>
      </c>
      <c r="AU12" s="42">
        <v>1</v>
      </c>
      <c r="AV12" s="42">
        <v>1</v>
      </c>
      <c r="AX12" s="20" t="s">
        <v>14</v>
      </c>
      <c r="AY12" s="2">
        <v>1</v>
      </c>
      <c r="AZ12" s="2">
        <v>1</v>
      </c>
      <c r="BA12" s="2">
        <v>1</v>
      </c>
    </row>
    <row r="13" spans="1:53">
      <c r="A13" s="10" t="s">
        <v>16</v>
      </c>
      <c r="B13" s="29">
        <f>ROUND(Fechas!M14,0)</f>
        <v>183</v>
      </c>
      <c r="C13" s="1">
        <f>+Fechas!J14</f>
        <v>76</v>
      </c>
      <c r="D13" s="1">
        <f>+Fechas!L14</f>
        <v>107</v>
      </c>
      <c r="F13" s="20" t="s">
        <v>15</v>
      </c>
      <c r="G13" s="2">
        <v>30</v>
      </c>
      <c r="H13" s="2">
        <v>30</v>
      </c>
      <c r="I13" s="2">
        <v>30</v>
      </c>
      <c r="J13" s="2">
        <v>30</v>
      </c>
      <c r="K13" s="2">
        <v>30</v>
      </c>
      <c r="L13" s="2">
        <v>30</v>
      </c>
      <c r="M13" s="2">
        <v>30</v>
      </c>
      <c r="N13" s="2">
        <v>30</v>
      </c>
      <c r="O13" s="2">
        <v>30</v>
      </c>
      <c r="P13" s="2">
        <v>30</v>
      </c>
      <c r="Q13" s="2">
        <v>0</v>
      </c>
      <c r="R13" s="2">
        <v>30</v>
      </c>
      <c r="S13" s="2">
        <v>30</v>
      </c>
      <c r="T13" s="2">
        <v>0</v>
      </c>
      <c r="U13" s="2">
        <v>0</v>
      </c>
      <c r="V13" s="2">
        <v>30</v>
      </c>
      <c r="W13" s="2">
        <v>-20</v>
      </c>
      <c r="X13" s="2">
        <v>-20</v>
      </c>
      <c r="Y13" s="2">
        <v>30</v>
      </c>
      <c r="Z13" s="2">
        <v>0</v>
      </c>
      <c r="AB13" s="43" t="s">
        <v>15</v>
      </c>
      <c r="AC13" s="42">
        <v>1</v>
      </c>
      <c r="AD13" s="42">
        <v>1</v>
      </c>
      <c r="AE13" s="42">
        <v>1</v>
      </c>
      <c r="AF13" s="42">
        <v>1</v>
      </c>
      <c r="AG13" s="42">
        <v>1</v>
      </c>
      <c r="AH13" s="42">
        <v>1</v>
      </c>
      <c r="AI13" s="42">
        <v>1</v>
      </c>
      <c r="AJ13" s="42">
        <v>1</v>
      </c>
      <c r="AK13" s="42">
        <v>1</v>
      </c>
      <c r="AL13" s="42">
        <v>1</v>
      </c>
      <c r="AM13" s="42">
        <v>0</v>
      </c>
      <c r="AN13" s="42">
        <v>1</v>
      </c>
      <c r="AO13" s="42">
        <v>1</v>
      </c>
      <c r="AP13" s="42">
        <v>1</v>
      </c>
      <c r="AQ13" s="42">
        <v>1</v>
      </c>
      <c r="AR13" s="42">
        <v>1</v>
      </c>
      <c r="AS13" s="42">
        <v>1</v>
      </c>
      <c r="AT13" s="42">
        <v>1</v>
      </c>
      <c r="AU13" s="42">
        <v>1</v>
      </c>
      <c r="AV13" s="42">
        <v>1</v>
      </c>
      <c r="AX13" s="20" t="s">
        <v>15</v>
      </c>
      <c r="AY13" s="2">
        <v>1</v>
      </c>
      <c r="AZ13" s="2">
        <v>1</v>
      </c>
      <c r="BA13" s="2">
        <v>1</v>
      </c>
    </row>
    <row r="14" spans="1:53">
      <c r="A14" s="17" t="s">
        <v>17</v>
      </c>
      <c r="B14" s="29">
        <f>ROUND(Fechas!M15,0)</f>
        <v>152</v>
      </c>
      <c r="C14" s="1">
        <f>+Fechas!J15</f>
        <v>132</v>
      </c>
      <c r="D14" s="1">
        <f>+Fechas!L15</f>
        <v>183</v>
      </c>
      <c r="F14" s="20" t="s">
        <v>16</v>
      </c>
      <c r="G14" s="2">
        <v>30</v>
      </c>
      <c r="H14" s="2">
        <v>30</v>
      </c>
      <c r="I14" s="2">
        <v>30</v>
      </c>
      <c r="J14" s="2">
        <v>30</v>
      </c>
      <c r="K14" s="2">
        <v>30</v>
      </c>
      <c r="L14" s="2">
        <v>30</v>
      </c>
      <c r="M14" s="2">
        <v>30</v>
      </c>
      <c r="N14" s="2">
        <v>30</v>
      </c>
      <c r="O14" s="2">
        <v>30</v>
      </c>
      <c r="P14" s="2">
        <v>30</v>
      </c>
      <c r="Q14" s="2">
        <v>30</v>
      </c>
      <c r="R14" s="2">
        <v>0</v>
      </c>
      <c r="S14" s="2">
        <v>30</v>
      </c>
      <c r="T14" s="2">
        <v>0</v>
      </c>
      <c r="U14" s="2">
        <v>0</v>
      </c>
      <c r="V14" s="2">
        <v>30</v>
      </c>
      <c r="W14" s="2">
        <v>-20</v>
      </c>
      <c r="X14" s="2">
        <v>-20</v>
      </c>
      <c r="Y14" s="2">
        <v>30</v>
      </c>
      <c r="Z14" s="2">
        <v>0</v>
      </c>
      <c r="AB14" s="43" t="s">
        <v>16</v>
      </c>
      <c r="AC14" s="42">
        <v>1</v>
      </c>
      <c r="AD14" s="42">
        <v>1</v>
      </c>
      <c r="AE14" s="42">
        <v>1</v>
      </c>
      <c r="AF14" s="42">
        <v>1</v>
      </c>
      <c r="AG14" s="42">
        <v>1</v>
      </c>
      <c r="AH14" s="42">
        <v>1</v>
      </c>
      <c r="AI14" s="42">
        <v>1</v>
      </c>
      <c r="AJ14" s="42">
        <v>1</v>
      </c>
      <c r="AK14" s="42">
        <v>1</v>
      </c>
      <c r="AL14" s="42">
        <v>1</v>
      </c>
      <c r="AM14" s="42">
        <v>1</v>
      </c>
      <c r="AN14" s="42">
        <v>0</v>
      </c>
      <c r="AO14" s="42">
        <v>1</v>
      </c>
      <c r="AP14" s="42">
        <v>1</v>
      </c>
      <c r="AQ14" s="42">
        <v>1</v>
      </c>
      <c r="AR14" s="42">
        <v>1</v>
      </c>
      <c r="AS14" s="42">
        <v>1</v>
      </c>
      <c r="AT14" s="42">
        <v>1</v>
      </c>
      <c r="AU14" s="42">
        <v>1</v>
      </c>
      <c r="AV14" s="42">
        <v>1</v>
      </c>
      <c r="AX14" s="20" t="s">
        <v>16</v>
      </c>
      <c r="AY14" s="2">
        <v>1</v>
      </c>
      <c r="AZ14" s="2">
        <v>1</v>
      </c>
      <c r="BA14" s="2">
        <v>1</v>
      </c>
    </row>
    <row r="15" spans="1:53">
      <c r="A15" s="17" t="s">
        <v>18</v>
      </c>
      <c r="B15" s="29">
        <f>ROUND(Fechas!M16,0)</f>
        <v>152</v>
      </c>
      <c r="C15" s="1">
        <f>+Fechas!J16</f>
        <v>173</v>
      </c>
      <c r="D15" s="1">
        <f>+Fechas!L16</f>
        <v>229</v>
      </c>
      <c r="F15" s="32" t="s">
        <v>17</v>
      </c>
      <c r="G15" s="2">
        <v>30</v>
      </c>
      <c r="H15" s="2">
        <v>30</v>
      </c>
      <c r="I15" s="2">
        <v>30</v>
      </c>
      <c r="J15" s="2">
        <v>30</v>
      </c>
      <c r="K15" s="2">
        <v>30</v>
      </c>
      <c r="L15" s="2">
        <v>30</v>
      </c>
      <c r="M15" s="2">
        <v>30</v>
      </c>
      <c r="N15" s="2">
        <v>30</v>
      </c>
      <c r="O15" s="2">
        <v>30</v>
      </c>
      <c r="P15" s="2">
        <v>30</v>
      </c>
      <c r="Q15" s="2">
        <v>30</v>
      </c>
      <c r="R15" s="2">
        <v>30</v>
      </c>
      <c r="S15" s="2">
        <v>0</v>
      </c>
      <c r="T15" s="2">
        <v>0</v>
      </c>
      <c r="U15" s="2">
        <v>0</v>
      </c>
      <c r="V15" s="2">
        <v>30</v>
      </c>
      <c r="W15" s="2">
        <v>-20</v>
      </c>
      <c r="X15" s="2">
        <v>-20</v>
      </c>
      <c r="Y15" s="2">
        <v>30</v>
      </c>
      <c r="Z15" s="2">
        <v>0</v>
      </c>
      <c r="AB15" s="44" t="s">
        <v>17</v>
      </c>
      <c r="AC15" s="42">
        <v>1</v>
      </c>
      <c r="AD15" s="42">
        <v>1</v>
      </c>
      <c r="AE15" s="42">
        <v>1</v>
      </c>
      <c r="AF15" s="42">
        <v>1</v>
      </c>
      <c r="AG15" s="42">
        <v>1</v>
      </c>
      <c r="AH15" s="42">
        <v>1</v>
      </c>
      <c r="AI15" s="42">
        <v>1</v>
      </c>
      <c r="AJ15" s="42">
        <v>1</v>
      </c>
      <c r="AK15" s="42">
        <v>1</v>
      </c>
      <c r="AL15" s="42">
        <v>1</v>
      </c>
      <c r="AM15" s="42">
        <v>1</v>
      </c>
      <c r="AN15" s="42">
        <v>1</v>
      </c>
      <c r="AO15" s="42">
        <v>0</v>
      </c>
      <c r="AP15" s="42">
        <v>1</v>
      </c>
      <c r="AQ15" s="42">
        <v>1</v>
      </c>
      <c r="AR15" s="42">
        <v>1</v>
      </c>
      <c r="AS15" s="42">
        <v>1</v>
      </c>
      <c r="AT15" s="42">
        <v>1</v>
      </c>
      <c r="AU15" s="42">
        <v>1</v>
      </c>
      <c r="AV15" s="42">
        <v>1</v>
      </c>
      <c r="AX15" s="32" t="s">
        <v>17</v>
      </c>
      <c r="AY15" s="2">
        <v>1</v>
      </c>
      <c r="AZ15" s="2">
        <v>1</v>
      </c>
      <c r="BA15" s="2">
        <v>1</v>
      </c>
    </row>
    <row r="16" spans="1:53">
      <c r="A16" s="18" t="s">
        <v>19</v>
      </c>
      <c r="B16" s="29">
        <f>ROUND(Fechas!M17,0)</f>
        <v>183</v>
      </c>
      <c r="C16" s="1">
        <f>+Fechas!J17</f>
        <v>173</v>
      </c>
      <c r="D16" s="1">
        <f>+Fechas!L17</f>
        <v>229</v>
      </c>
      <c r="F16" s="32" t="s">
        <v>18</v>
      </c>
      <c r="G16" s="2">
        <v>30</v>
      </c>
      <c r="H16" s="2">
        <v>30</v>
      </c>
      <c r="I16" s="2">
        <v>30</v>
      </c>
      <c r="J16" s="2">
        <v>30</v>
      </c>
      <c r="K16" s="2">
        <v>30</v>
      </c>
      <c r="L16" s="2">
        <v>30</v>
      </c>
      <c r="M16" s="2">
        <v>30</v>
      </c>
      <c r="N16" s="2">
        <v>30</v>
      </c>
      <c r="O16" s="2">
        <v>30</v>
      </c>
      <c r="P16" s="2">
        <v>30</v>
      </c>
      <c r="Q16" s="2">
        <v>30</v>
      </c>
      <c r="R16" s="2">
        <v>30</v>
      </c>
      <c r="S16" s="2">
        <v>30</v>
      </c>
      <c r="T16" s="2">
        <v>0</v>
      </c>
      <c r="U16" s="2">
        <v>0</v>
      </c>
      <c r="V16" s="2">
        <v>30</v>
      </c>
      <c r="W16" s="2">
        <v>-20</v>
      </c>
      <c r="X16" s="2">
        <v>-20</v>
      </c>
      <c r="Y16" s="2">
        <v>30</v>
      </c>
      <c r="Z16" s="2">
        <v>0</v>
      </c>
      <c r="AB16" s="44" t="s">
        <v>18</v>
      </c>
      <c r="AC16" s="42">
        <v>1</v>
      </c>
      <c r="AD16" s="42">
        <v>1</v>
      </c>
      <c r="AE16" s="42">
        <v>1</v>
      </c>
      <c r="AF16" s="42">
        <v>1</v>
      </c>
      <c r="AG16" s="42">
        <v>1</v>
      </c>
      <c r="AH16" s="42">
        <v>1</v>
      </c>
      <c r="AI16" s="42">
        <v>1</v>
      </c>
      <c r="AJ16" s="42">
        <v>1</v>
      </c>
      <c r="AK16" s="42">
        <v>1</v>
      </c>
      <c r="AL16" s="42">
        <v>1</v>
      </c>
      <c r="AM16" s="42">
        <v>1</v>
      </c>
      <c r="AN16" s="42">
        <v>1</v>
      </c>
      <c r="AO16" s="42">
        <v>1</v>
      </c>
      <c r="AP16" s="42">
        <v>0</v>
      </c>
      <c r="AQ16" s="42">
        <v>1</v>
      </c>
      <c r="AR16" s="42">
        <v>1</v>
      </c>
      <c r="AS16" s="42">
        <v>1</v>
      </c>
      <c r="AT16" s="42">
        <v>1</v>
      </c>
      <c r="AU16" s="42">
        <v>1</v>
      </c>
      <c r="AV16" s="42">
        <v>1</v>
      </c>
      <c r="AX16" s="32" t="s">
        <v>18</v>
      </c>
      <c r="AY16" s="2">
        <v>1</v>
      </c>
      <c r="AZ16" s="2">
        <v>1</v>
      </c>
      <c r="BA16" s="2">
        <v>1</v>
      </c>
    </row>
    <row r="17" spans="1:53">
      <c r="A17" s="10" t="s">
        <v>20</v>
      </c>
      <c r="B17" s="29">
        <f>ROUND(Fechas!M18,0)</f>
        <v>183</v>
      </c>
      <c r="C17" s="1">
        <f>+Fechas!J18</f>
        <v>173</v>
      </c>
      <c r="D17" s="1">
        <f>+Fechas!L18</f>
        <v>229</v>
      </c>
      <c r="F17" s="30" t="s">
        <v>19</v>
      </c>
      <c r="G17" s="2">
        <v>30</v>
      </c>
      <c r="H17" s="2">
        <v>30</v>
      </c>
      <c r="I17" s="2">
        <v>30</v>
      </c>
      <c r="J17" s="2">
        <v>30</v>
      </c>
      <c r="K17" s="2">
        <v>30</v>
      </c>
      <c r="L17" s="2">
        <v>30</v>
      </c>
      <c r="M17" s="2">
        <v>30</v>
      </c>
      <c r="N17" s="2">
        <v>30</v>
      </c>
      <c r="O17" s="2">
        <v>30</v>
      </c>
      <c r="P17" s="2">
        <v>30</v>
      </c>
      <c r="Q17" s="2">
        <v>30</v>
      </c>
      <c r="R17" s="2">
        <v>30</v>
      </c>
      <c r="S17" s="2">
        <v>30</v>
      </c>
      <c r="T17" s="2">
        <v>0</v>
      </c>
      <c r="U17" s="2">
        <v>0</v>
      </c>
      <c r="V17" s="2">
        <v>30</v>
      </c>
      <c r="W17" s="2">
        <v>-20</v>
      </c>
      <c r="X17" s="2">
        <v>-20</v>
      </c>
      <c r="Y17" s="2">
        <v>30</v>
      </c>
      <c r="Z17" s="2">
        <v>0</v>
      </c>
      <c r="AB17" s="44" t="s">
        <v>19</v>
      </c>
      <c r="AC17" s="42">
        <v>1</v>
      </c>
      <c r="AD17" s="42">
        <v>1</v>
      </c>
      <c r="AE17" s="42">
        <v>1</v>
      </c>
      <c r="AF17" s="42">
        <v>1</v>
      </c>
      <c r="AG17" s="42">
        <v>1</v>
      </c>
      <c r="AH17" s="42">
        <v>1</v>
      </c>
      <c r="AI17" s="42">
        <v>1</v>
      </c>
      <c r="AJ17" s="42">
        <v>1</v>
      </c>
      <c r="AK17" s="42">
        <v>1</v>
      </c>
      <c r="AL17" s="42">
        <v>1</v>
      </c>
      <c r="AM17" s="42">
        <v>1</v>
      </c>
      <c r="AN17" s="42">
        <v>1</v>
      </c>
      <c r="AO17" s="42">
        <v>1</v>
      </c>
      <c r="AP17" s="42">
        <v>1</v>
      </c>
      <c r="AQ17" s="42">
        <v>0</v>
      </c>
      <c r="AR17" s="42">
        <v>1</v>
      </c>
      <c r="AS17" s="42">
        <v>1</v>
      </c>
      <c r="AT17" s="42">
        <v>1</v>
      </c>
      <c r="AU17" s="42">
        <v>1</v>
      </c>
      <c r="AV17" s="42">
        <v>1</v>
      </c>
      <c r="AX17" s="30" t="s">
        <v>19</v>
      </c>
      <c r="AY17" s="2">
        <v>1</v>
      </c>
      <c r="AZ17" s="2">
        <v>1</v>
      </c>
      <c r="BA17" s="2">
        <v>1</v>
      </c>
    </row>
    <row r="18" spans="1:53">
      <c r="A18" s="17" t="s">
        <v>84</v>
      </c>
      <c r="B18" s="29">
        <f>ROUND(Fechas!M19,0)</f>
        <v>213</v>
      </c>
      <c r="C18" s="1">
        <f>+Fechas!J19</f>
        <v>-60</v>
      </c>
      <c r="D18" s="1">
        <f>+Fechas!L19</f>
        <v>61</v>
      </c>
      <c r="F18" s="30" t="s">
        <v>20</v>
      </c>
      <c r="G18" s="2">
        <v>30</v>
      </c>
      <c r="H18" s="2">
        <v>30</v>
      </c>
      <c r="I18" s="2">
        <v>30</v>
      </c>
      <c r="J18" s="2">
        <v>30</v>
      </c>
      <c r="K18" s="2">
        <v>30</v>
      </c>
      <c r="L18" s="2">
        <v>30</v>
      </c>
      <c r="M18" s="2">
        <v>30</v>
      </c>
      <c r="N18" s="2">
        <v>30</v>
      </c>
      <c r="O18" s="2">
        <v>30</v>
      </c>
      <c r="P18" s="2">
        <v>30</v>
      </c>
      <c r="Q18" s="2">
        <v>30</v>
      </c>
      <c r="R18" s="2">
        <v>30</v>
      </c>
      <c r="S18" s="2">
        <v>30</v>
      </c>
      <c r="T18" s="2">
        <v>0</v>
      </c>
      <c r="U18" s="2">
        <v>0</v>
      </c>
      <c r="V18" s="2">
        <v>0</v>
      </c>
      <c r="W18" s="2">
        <v>-20</v>
      </c>
      <c r="X18" s="2">
        <v>-20</v>
      </c>
      <c r="Y18" s="2">
        <v>30</v>
      </c>
      <c r="Z18" s="2">
        <v>0</v>
      </c>
      <c r="AB18" s="44" t="s">
        <v>20</v>
      </c>
      <c r="AC18" s="42">
        <v>1</v>
      </c>
      <c r="AD18" s="42">
        <v>1</v>
      </c>
      <c r="AE18" s="42">
        <v>1</v>
      </c>
      <c r="AF18" s="42">
        <v>1</v>
      </c>
      <c r="AG18" s="42">
        <v>1</v>
      </c>
      <c r="AH18" s="42">
        <v>1</v>
      </c>
      <c r="AI18" s="42">
        <v>1</v>
      </c>
      <c r="AJ18" s="42">
        <v>1</v>
      </c>
      <c r="AK18" s="42">
        <v>1</v>
      </c>
      <c r="AL18" s="42">
        <v>1</v>
      </c>
      <c r="AM18" s="42">
        <v>1</v>
      </c>
      <c r="AN18" s="42">
        <v>1</v>
      </c>
      <c r="AO18" s="42">
        <v>1</v>
      </c>
      <c r="AP18" s="42">
        <v>1</v>
      </c>
      <c r="AQ18" s="42">
        <v>1</v>
      </c>
      <c r="AR18" s="42">
        <v>0</v>
      </c>
      <c r="AS18" s="42">
        <v>1</v>
      </c>
      <c r="AT18" s="42">
        <v>1</v>
      </c>
      <c r="AU18" s="42">
        <v>1</v>
      </c>
      <c r="AV18" s="42">
        <v>1</v>
      </c>
      <c r="AX18" s="30" t="s">
        <v>20</v>
      </c>
      <c r="AY18" s="2">
        <v>1</v>
      </c>
      <c r="AZ18" s="2">
        <v>1</v>
      </c>
      <c r="BA18" s="2">
        <v>1</v>
      </c>
    </row>
    <row r="19" spans="1:53">
      <c r="A19" s="17" t="s">
        <v>85</v>
      </c>
      <c r="B19" s="29">
        <f>ROUND(Fechas!M20,0)</f>
        <v>213</v>
      </c>
      <c r="C19" s="1">
        <f>+Fechas!J20</f>
        <v>-60</v>
      </c>
      <c r="D19" s="1">
        <f>+Fechas!L20</f>
        <v>61</v>
      </c>
      <c r="F19" s="30" t="s">
        <v>84</v>
      </c>
      <c r="G19" s="2">
        <v>30</v>
      </c>
      <c r="H19" s="2">
        <v>30</v>
      </c>
      <c r="I19" s="2">
        <v>30</v>
      </c>
      <c r="J19" s="2">
        <v>30</v>
      </c>
      <c r="K19" s="2">
        <v>30</v>
      </c>
      <c r="L19" s="2">
        <v>30</v>
      </c>
      <c r="M19" s="2">
        <v>30</v>
      </c>
      <c r="N19" s="2">
        <v>30</v>
      </c>
      <c r="O19" s="2">
        <v>30</v>
      </c>
      <c r="P19" s="2">
        <v>30</v>
      </c>
      <c r="Q19" s="2">
        <v>30</v>
      </c>
      <c r="R19" s="2">
        <v>30</v>
      </c>
      <c r="S19" s="2">
        <v>30</v>
      </c>
      <c r="T19" s="2">
        <v>0</v>
      </c>
      <c r="U19" s="2">
        <v>0</v>
      </c>
      <c r="V19" s="2">
        <v>30</v>
      </c>
      <c r="W19" s="2">
        <v>0</v>
      </c>
      <c r="X19" s="2">
        <v>-20</v>
      </c>
      <c r="Y19" s="2">
        <v>30</v>
      </c>
      <c r="Z19" s="2">
        <v>0</v>
      </c>
      <c r="AB19" s="44" t="s">
        <v>84</v>
      </c>
      <c r="AC19" s="42">
        <v>1</v>
      </c>
      <c r="AD19" s="42">
        <v>1</v>
      </c>
      <c r="AE19" s="42">
        <v>1</v>
      </c>
      <c r="AF19" s="42">
        <v>1</v>
      </c>
      <c r="AG19" s="42">
        <v>1</v>
      </c>
      <c r="AH19" s="42">
        <v>1</v>
      </c>
      <c r="AI19" s="42">
        <v>1</v>
      </c>
      <c r="AJ19" s="42">
        <v>1</v>
      </c>
      <c r="AK19" s="42">
        <v>1</v>
      </c>
      <c r="AL19" s="42">
        <v>1</v>
      </c>
      <c r="AM19" s="42">
        <v>1</v>
      </c>
      <c r="AN19" s="42">
        <v>1</v>
      </c>
      <c r="AO19" s="42">
        <v>1</v>
      </c>
      <c r="AP19" s="42">
        <v>1</v>
      </c>
      <c r="AQ19" s="42">
        <v>1</v>
      </c>
      <c r="AR19" s="42">
        <v>1</v>
      </c>
      <c r="AS19" s="42">
        <v>0</v>
      </c>
      <c r="AT19" s="42">
        <v>1</v>
      </c>
      <c r="AU19" s="42">
        <v>1</v>
      </c>
      <c r="AV19" s="42">
        <v>1</v>
      </c>
      <c r="AX19" s="30" t="s">
        <v>84</v>
      </c>
      <c r="AY19" s="2">
        <v>1</v>
      </c>
      <c r="AZ19" s="2">
        <v>1</v>
      </c>
      <c r="BA19" s="2">
        <v>1</v>
      </c>
    </row>
    <row r="20" spans="1:53">
      <c r="A20" s="18" t="s">
        <v>146</v>
      </c>
      <c r="B20" s="29">
        <f>ROUND(Fechas!M21,0)</f>
        <v>213</v>
      </c>
      <c r="C20" s="1">
        <f>+Fechas!J21</f>
        <v>-77</v>
      </c>
      <c r="D20" s="1">
        <f>+Fechas!L21</f>
        <v>-16</v>
      </c>
      <c r="F20" s="30" t="s">
        <v>85</v>
      </c>
      <c r="G20" s="2">
        <v>30</v>
      </c>
      <c r="H20" s="2">
        <v>30</v>
      </c>
      <c r="I20" s="2">
        <v>30</v>
      </c>
      <c r="J20" s="2">
        <v>30</v>
      </c>
      <c r="K20" s="2">
        <v>30</v>
      </c>
      <c r="L20" s="2">
        <v>30</v>
      </c>
      <c r="M20" s="2">
        <v>30</v>
      </c>
      <c r="N20" s="2">
        <v>30</v>
      </c>
      <c r="O20" s="2">
        <v>30</v>
      </c>
      <c r="P20" s="2">
        <v>30</v>
      </c>
      <c r="Q20" s="2">
        <v>30</v>
      </c>
      <c r="R20" s="2">
        <v>30</v>
      </c>
      <c r="S20" s="2">
        <v>30</v>
      </c>
      <c r="T20" s="2">
        <v>0</v>
      </c>
      <c r="U20" s="2">
        <v>0</v>
      </c>
      <c r="V20" s="2">
        <v>30</v>
      </c>
      <c r="W20" s="2">
        <v>-20</v>
      </c>
      <c r="X20" s="2">
        <v>0</v>
      </c>
      <c r="Y20" s="2">
        <v>30</v>
      </c>
      <c r="Z20" s="2">
        <v>0</v>
      </c>
      <c r="AB20" s="44" t="s">
        <v>85</v>
      </c>
      <c r="AC20" s="42">
        <v>1</v>
      </c>
      <c r="AD20" s="42">
        <v>1</v>
      </c>
      <c r="AE20" s="42">
        <v>1</v>
      </c>
      <c r="AF20" s="42">
        <v>1</v>
      </c>
      <c r="AG20" s="42">
        <v>1</v>
      </c>
      <c r="AH20" s="42">
        <v>1</v>
      </c>
      <c r="AI20" s="42">
        <v>1</v>
      </c>
      <c r="AJ20" s="42">
        <v>1</v>
      </c>
      <c r="AK20" s="42">
        <v>1</v>
      </c>
      <c r="AL20" s="42">
        <v>1</v>
      </c>
      <c r="AM20" s="42">
        <v>1</v>
      </c>
      <c r="AN20" s="42">
        <v>1</v>
      </c>
      <c r="AO20" s="42">
        <v>1</v>
      </c>
      <c r="AP20" s="42">
        <v>1</v>
      </c>
      <c r="AQ20" s="42">
        <v>1</v>
      </c>
      <c r="AR20" s="42">
        <v>1</v>
      </c>
      <c r="AS20" s="42">
        <v>1</v>
      </c>
      <c r="AT20" s="42">
        <v>0</v>
      </c>
      <c r="AU20" s="42">
        <v>1</v>
      </c>
      <c r="AV20" s="42">
        <v>1</v>
      </c>
      <c r="AX20" s="30" t="s">
        <v>85</v>
      </c>
      <c r="AY20" s="2">
        <v>1</v>
      </c>
      <c r="AZ20" s="2">
        <v>1</v>
      </c>
      <c r="BA20" s="2">
        <v>1</v>
      </c>
    </row>
    <row r="21" spans="1:53">
      <c r="A21" s="18" t="s">
        <v>21</v>
      </c>
      <c r="B21" s="29">
        <f>ROUND(Fechas!M22,0)</f>
        <v>0</v>
      </c>
      <c r="C21" s="1">
        <v>1</v>
      </c>
      <c r="D21" s="1">
        <v>365</v>
      </c>
      <c r="F21" s="30" t="s">
        <v>146</v>
      </c>
      <c r="G21" s="2">
        <v>30</v>
      </c>
      <c r="H21" s="2">
        <v>30</v>
      </c>
      <c r="I21" s="2">
        <v>30</v>
      </c>
      <c r="J21" s="2">
        <v>30</v>
      </c>
      <c r="K21" s="2">
        <v>30</v>
      </c>
      <c r="L21" s="2">
        <v>30</v>
      </c>
      <c r="M21" s="2">
        <v>30</v>
      </c>
      <c r="N21" s="2">
        <v>30</v>
      </c>
      <c r="O21" s="2">
        <v>30</v>
      </c>
      <c r="P21" s="2">
        <v>30</v>
      </c>
      <c r="Q21" s="2">
        <v>30</v>
      </c>
      <c r="R21" s="2">
        <v>30</v>
      </c>
      <c r="S21" s="2">
        <v>30</v>
      </c>
      <c r="T21" s="2">
        <v>0</v>
      </c>
      <c r="U21" s="2">
        <v>0</v>
      </c>
      <c r="V21" s="2">
        <v>30</v>
      </c>
      <c r="W21" s="2">
        <v>-20</v>
      </c>
      <c r="X21" s="2">
        <v>-20</v>
      </c>
      <c r="Y21" s="2">
        <v>0</v>
      </c>
      <c r="Z21" s="2">
        <v>0</v>
      </c>
      <c r="AB21" s="44" t="s">
        <v>146</v>
      </c>
      <c r="AC21" s="42">
        <v>1</v>
      </c>
      <c r="AD21" s="42">
        <v>1</v>
      </c>
      <c r="AE21" s="42">
        <v>1</v>
      </c>
      <c r="AF21" s="42">
        <v>1</v>
      </c>
      <c r="AG21" s="42">
        <v>1</v>
      </c>
      <c r="AH21" s="42">
        <v>1</v>
      </c>
      <c r="AI21" s="42">
        <v>1</v>
      </c>
      <c r="AJ21" s="42">
        <v>1</v>
      </c>
      <c r="AK21" s="42">
        <v>1</v>
      </c>
      <c r="AL21" s="42">
        <v>1</v>
      </c>
      <c r="AM21" s="42">
        <v>1</v>
      </c>
      <c r="AN21" s="42">
        <v>1</v>
      </c>
      <c r="AO21" s="42">
        <v>1</v>
      </c>
      <c r="AP21" s="42">
        <v>1</v>
      </c>
      <c r="AQ21" s="42">
        <v>1</v>
      </c>
      <c r="AR21" s="42">
        <v>1</v>
      </c>
      <c r="AS21" s="42">
        <v>1</v>
      </c>
      <c r="AT21" s="42">
        <v>1</v>
      </c>
      <c r="AU21" s="42">
        <v>0</v>
      </c>
      <c r="AV21" s="42">
        <v>1</v>
      </c>
      <c r="AX21" s="30" t="s">
        <v>146</v>
      </c>
      <c r="AY21" s="2">
        <v>1</v>
      </c>
      <c r="AZ21" s="2">
        <v>1</v>
      </c>
      <c r="BA21" s="2">
        <v>1</v>
      </c>
    </row>
    <row r="22" spans="1:53">
      <c r="F22" s="30" t="s">
        <v>21</v>
      </c>
      <c r="G22" s="2">
        <v>30</v>
      </c>
      <c r="H22" s="2">
        <v>30</v>
      </c>
      <c r="I22" s="2">
        <v>30</v>
      </c>
      <c r="J22" s="2">
        <v>30</v>
      </c>
      <c r="K22" s="2">
        <v>30</v>
      </c>
      <c r="L22" s="2">
        <v>30</v>
      </c>
      <c r="M22" s="2">
        <v>30</v>
      </c>
      <c r="N22" s="2">
        <v>30</v>
      </c>
      <c r="O22" s="2">
        <v>30</v>
      </c>
      <c r="P22" s="2">
        <v>30</v>
      </c>
      <c r="Q22" s="2">
        <v>30</v>
      </c>
      <c r="R22" s="2">
        <v>30</v>
      </c>
      <c r="S22" s="2">
        <v>30</v>
      </c>
      <c r="T22" s="2">
        <v>0</v>
      </c>
      <c r="U22" s="2">
        <v>0</v>
      </c>
      <c r="V22" s="2">
        <v>30</v>
      </c>
      <c r="W22" s="2">
        <v>-20</v>
      </c>
      <c r="X22" s="2">
        <v>-20</v>
      </c>
      <c r="Y22" s="2">
        <v>30</v>
      </c>
      <c r="Z22" s="2">
        <v>0</v>
      </c>
      <c r="AB22" s="44" t="s">
        <v>21</v>
      </c>
      <c r="AC22" s="42">
        <v>1</v>
      </c>
      <c r="AD22" s="42">
        <v>1</v>
      </c>
      <c r="AE22" s="42">
        <v>1</v>
      </c>
      <c r="AF22" s="42">
        <v>1</v>
      </c>
      <c r="AG22" s="42">
        <v>1</v>
      </c>
      <c r="AH22" s="42">
        <v>1</v>
      </c>
      <c r="AI22" s="42">
        <v>1</v>
      </c>
      <c r="AJ22" s="42">
        <v>1</v>
      </c>
      <c r="AK22" s="42">
        <v>1</v>
      </c>
      <c r="AL22" s="42">
        <v>1</v>
      </c>
      <c r="AM22" s="42">
        <v>1</v>
      </c>
      <c r="AN22" s="42">
        <v>1</v>
      </c>
      <c r="AO22" s="42">
        <v>1</v>
      </c>
      <c r="AP22" s="42">
        <v>1</v>
      </c>
      <c r="AQ22" s="42">
        <v>1</v>
      </c>
      <c r="AR22" s="42">
        <v>1</v>
      </c>
      <c r="AS22" s="42">
        <v>1</v>
      </c>
      <c r="AT22" s="42">
        <v>1</v>
      </c>
      <c r="AU22" s="42">
        <v>1</v>
      </c>
      <c r="AV22" s="42">
        <v>0</v>
      </c>
      <c r="AX22" s="30" t="s">
        <v>21</v>
      </c>
      <c r="AY22" s="2">
        <v>1</v>
      </c>
      <c r="AZ22" s="2">
        <v>1</v>
      </c>
      <c r="BA22" s="2">
        <v>1</v>
      </c>
    </row>
    <row r="23" spans="1:53">
      <c r="AC23" s="9"/>
    </row>
    <row r="24" spans="1:53"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B24" s="10"/>
      <c r="AC24" s="29"/>
      <c r="AD24" s="1"/>
      <c r="AE24" s="1"/>
    </row>
    <row r="25" spans="1:53">
      <c r="AB25" s="10"/>
      <c r="AC25" s="29"/>
      <c r="AD25" s="1"/>
      <c r="AE25" s="1"/>
    </row>
    <row r="26" spans="1:53">
      <c r="G26" s="51"/>
      <c r="O26" s="1"/>
      <c r="P26" s="1"/>
      <c r="AB26" s="10"/>
      <c r="AC26" s="29"/>
      <c r="AD26" s="1"/>
      <c r="AE26" s="1"/>
    </row>
    <row r="27" spans="1:53">
      <c r="G27" s="51"/>
      <c r="I27" s="51"/>
      <c r="AB27" s="10"/>
      <c r="AC27" s="29"/>
      <c r="AD27" s="1"/>
      <c r="AE27" s="1"/>
    </row>
    <row r="28" spans="1:53">
      <c r="AB28" s="10"/>
      <c r="AC28" s="29"/>
      <c r="AD28" s="1"/>
      <c r="AE28" s="1"/>
    </row>
    <row r="29" spans="1:53">
      <c r="G29" s="51"/>
      <c r="AB29" s="10"/>
      <c r="AC29" s="29"/>
      <c r="AD29" s="1"/>
      <c r="AE29" s="1"/>
    </row>
    <row r="30" spans="1:53">
      <c r="G30" s="51"/>
      <c r="AB30" s="10"/>
      <c r="AC30" s="29"/>
      <c r="AD30" s="1"/>
      <c r="AE30" s="1"/>
    </row>
    <row r="31" spans="1:53">
      <c r="AB31" s="10"/>
      <c r="AC31" s="29"/>
      <c r="AD31" s="1"/>
      <c r="AE31" s="1"/>
    </row>
    <row r="32" spans="1:53">
      <c r="AB32" s="10"/>
      <c r="AC32" s="29"/>
      <c r="AD32" s="1"/>
      <c r="AE32" s="1"/>
    </row>
    <row r="33" spans="28:31">
      <c r="AB33" s="10"/>
      <c r="AC33" s="29"/>
      <c r="AD33" s="1"/>
      <c r="AE33" s="1"/>
    </row>
    <row r="34" spans="28:31">
      <c r="AB34" s="10"/>
      <c r="AC34" s="29"/>
      <c r="AD34" s="1"/>
      <c r="AE34" s="1"/>
    </row>
    <row r="35" spans="28:31">
      <c r="AB35" s="10"/>
      <c r="AC35" s="29"/>
      <c r="AD35" s="1"/>
      <c r="AE35" s="1"/>
    </row>
    <row r="36" spans="28:31">
      <c r="AB36" s="17"/>
      <c r="AC36" s="29"/>
      <c r="AD36" s="1"/>
      <c r="AE36" s="1"/>
    </row>
    <row r="37" spans="28:31">
      <c r="AB37" s="17"/>
      <c r="AC37" s="29"/>
      <c r="AD37" s="1"/>
      <c r="AE37" s="1"/>
    </row>
    <row r="38" spans="28:31">
      <c r="AB38" s="18"/>
      <c r="AC38" s="29"/>
      <c r="AD38" s="1"/>
      <c r="AE38" s="1"/>
    </row>
    <row r="39" spans="28:31">
      <c r="AB39" s="10"/>
      <c r="AC39" s="29"/>
      <c r="AD39" s="1"/>
      <c r="AE39" s="1"/>
    </row>
    <row r="40" spans="28:31">
      <c r="AB40" s="17"/>
      <c r="AC40" s="29"/>
      <c r="AD40" s="1"/>
      <c r="AE40" s="1"/>
    </row>
    <row r="41" spans="28:31">
      <c r="AB41" s="17"/>
      <c r="AC41" s="29"/>
      <c r="AD41" s="1"/>
      <c r="AE41" s="1"/>
    </row>
    <row r="42" spans="28:31">
      <c r="AB42" s="18"/>
      <c r="AC42" s="29"/>
      <c r="AD42" s="1"/>
      <c r="AE42" s="1"/>
    </row>
    <row r="43" spans="28:31">
      <c r="AB43" s="18"/>
      <c r="AC43" s="29"/>
      <c r="AD43" s="1"/>
      <c r="AE43" s="1"/>
    </row>
  </sheetData>
  <mergeCells count="3">
    <mergeCell ref="AB1:AV1"/>
    <mergeCell ref="F1:Z1"/>
    <mergeCell ref="AX1:BA1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E6A7-355F-485B-BDF9-D9E1972B706D}">
  <dimension ref="A1:K202"/>
  <sheetViews>
    <sheetView topLeftCell="A9" zoomScale="160" zoomScaleNormal="160" workbookViewId="0">
      <selection activeCell="H20" sqref="H20"/>
    </sheetView>
  </sheetViews>
  <sheetFormatPr baseColWidth="10" defaultRowHeight="15"/>
  <cols>
    <col min="9" max="9" width="11.28515625" bestFit="1" customWidth="1"/>
    <col min="10" max="10" width="10.42578125" bestFit="1" customWidth="1"/>
  </cols>
  <sheetData>
    <row r="1" spans="1:11">
      <c r="B1" s="74" t="s">
        <v>110</v>
      </c>
      <c r="C1" s="74"/>
      <c r="D1" s="74"/>
      <c r="E1" s="74"/>
      <c r="G1" s="11"/>
      <c r="H1" s="48" t="s">
        <v>111</v>
      </c>
    </row>
    <row r="2" spans="1:11">
      <c r="B2" s="11"/>
      <c r="C2" s="11" t="s">
        <v>92</v>
      </c>
      <c r="D2" s="11" t="s">
        <v>93</v>
      </c>
      <c r="E2" s="11" t="s">
        <v>94</v>
      </c>
      <c r="G2" s="1" t="s">
        <v>95</v>
      </c>
      <c r="H2" s="1">
        <v>1.2</v>
      </c>
    </row>
    <row r="3" spans="1:11">
      <c r="A3" s="20" t="s">
        <v>5</v>
      </c>
      <c r="B3" s="20" t="s">
        <v>48</v>
      </c>
      <c r="C3" s="47">
        <v>0</v>
      </c>
      <c r="D3" s="47">
        <v>0</v>
      </c>
      <c r="E3" s="47">
        <v>0</v>
      </c>
      <c r="G3" s="1" t="s">
        <v>96</v>
      </c>
      <c r="H3" s="1">
        <v>1</v>
      </c>
    </row>
    <row r="4" spans="1:11">
      <c r="A4" s="20" t="s">
        <v>6</v>
      </c>
      <c r="B4" s="20" t="s">
        <v>48</v>
      </c>
      <c r="C4" s="47">
        <v>0</v>
      </c>
      <c r="D4" s="47">
        <v>0</v>
      </c>
      <c r="E4" s="47">
        <v>0</v>
      </c>
      <c r="G4" s="1" t="s">
        <v>97</v>
      </c>
      <c r="H4" s="1">
        <v>0.4</v>
      </c>
    </row>
    <row r="5" spans="1:11">
      <c r="A5" s="20" t="s">
        <v>7</v>
      </c>
      <c r="B5" s="20" t="s">
        <v>48</v>
      </c>
      <c r="C5" s="47">
        <v>0</v>
      </c>
      <c r="D5" s="47">
        <v>0</v>
      </c>
      <c r="E5" s="47">
        <v>0</v>
      </c>
      <c r="G5" s="1" t="s">
        <v>98</v>
      </c>
      <c r="H5" s="1">
        <v>0.1</v>
      </c>
    </row>
    <row r="6" spans="1:11">
      <c r="A6" s="20" t="s">
        <v>8</v>
      </c>
      <c r="B6" s="20" t="s">
        <v>48</v>
      </c>
      <c r="C6" s="47">
        <v>0</v>
      </c>
      <c r="D6" s="47">
        <v>0</v>
      </c>
      <c r="E6" s="47">
        <v>0</v>
      </c>
      <c r="G6" s="1" t="s">
        <v>99</v>
      </c>
      <c r="H6" s="1">
        <v>0</v>
      </c>
    </row>
    <row r="7" spans="1:11">
      <c r="A7" s="20" t="s">
        <v>9</v>
      </c>
      <c r="B7" s="20" t="s">
        <v>48</v>
      </c>
      <c r="C7" s="47">
        <v>0</v>
      </c>
      <c r="D7" s="47">
        <v>0</v>
      </c>
      <c r="E7" s="47">
        <v>0</v>
      </c>
      <c r="G7" s="1" t="s">
        <v>100</v>
      </c>
      <c r="H7" s="1">
        <v>0</v>
      </c>
    </row>
    <row r="8" spans="1:11">
      <c r="A8" s="20" t="s">
        <v>10</v>
      </c>
      <c r="B8" s="20" t="s">
        <v>48</v>
      </c>
      <c r="C8" s="47">
        <v>0</v>
      </c>
      <c r="D8" s="47">
        <v>0</v>
      </c>
      <c r="E8" s="47">
        <v>0</v>
      </c>
    </row>
    <row r="9" spans="1:11">
      <c r="A9" s="20" t="s">
        <v>11</v>
      </c>
      <c r="B9" s="20" t="s">
        <v>48</v>
      </c>
      <c r="C9" s="47">
        <v>0</v>
      </c>
      <c r="D9" s="47">
        <v>0</v>
      </c>
      <c r="E9" s="47">
        <v>0</v>
      </c>
    </row>
    <row r="10" spans="1:11">
      <c r="A10" s="20" t="s">
        <v>12</v>
      </c>
      <c r="B10" s="20" t="s">
        <v>48</v>
      </c>
      <c r="C10" s="47">
        <v>0</v>
      </c>
      <c r="D10" s="47">
        <v>0</v>
      </c>
      <c r="E10" s="47">
        <v>0</v>
      </c>
    </row>
    <row r="11" spans="1:11">
      <c r="A11" s="20" t="s">
        <v>13</v>
      </c>
      <c r="B11" s="20" t="s">
        <v>48</v>
      </c>
      <c r="C11" s="47">
        <v>0</v>
      </c>
      <c r="D11" s="47">
        <v>0</v>
      </c>
      <c r="E11" s="47">
        <v>0</v>
      </c>
    </row>
    <row r="12" spans="1:11">
      <c r="A12" s="20" t="s">
        <v>14</v>
      </c>
      <c r="B12" s="20" t="s">
        <v>48</v>
      </c>
      <c r="C12" s="47">
        <v>0</v>
      </c>
      <c r="D12" s="47">
        <v>0</v>
      </c>
      <c r="E12" s="47">
        <v>0</v>
      </c>
    </row>
    <row r="13" spans="1:11">
      <c r="A13" s="20" t="s">
        <v>15</v>
      </c>
      <c r="B13" s="20" t="s">
        <v>48</v>
      </c>
      <c r="C13" s="47">
        <v>0</v>
      </c>
      <c r="D13" s="47">
        <v>0</v>
      </c>
      <c r="E13" s="47">
        <v>0</v>
      </c>
      <c r="G13" s="45"/>
      <c r="H13" s="45"/>
      <c r="I13" s="45"/>
      <c r="J13" s="45"/>
      <c r="K13" s="45"/>
    </row>
    <row r="14" spans="1:11">
      <c r="A14" s="20" t="s">
        <v>16</v>
      </c>
      <c r="B14" s="20" t="s">
        <v>48</v>
      </c>
      <c r="C14" s="47">
        <v>0</v>
      </c>
      <c r="D14" s="47">
        <v>1</v>
      </c>
      <c r="E14" s="47">
        <v>0</v>
      </c>
      <c r="G14" s="46"/>
      <c r="H14" s="46"/>
      <c r="I14" s="46"/>
      <c r="J14" s="46"/>
      <c r="K14" s="46"/>
    </row>
    <row r="15" spans="1:11">
      <c r="A15" s="20" t="s">
        <v>17</v>
      </c>
      <c r="B15" s="20" t="s">
        <v>48</v>
      </c>
      <c r="C15" s="47">
        <v>1</v>
      </c>
      <c r="D15" s="47">
        <v>0</v>
      </c>
      <c r="E15" s="47">
        <v>1</v>
      </c>
      <c r="G15" s="46"/>
      <c r="H15" s="46"/>
      <c r="I15" s="46"/>
      <c r="J15" s="46"/>
      <c r="K15" s="46"/>
    </row>
    <row r="16" spans="1:11">
      <c r="A16" s="20" t="s">
        <v>18</v>
      </c>
      <c r="B16" s="20" t="s">
        <v>48</v>
      </c>
      <c r="C16" s="47">
        <v>0</v>
      </c>
      <c r="D16" s="47">
        <v>0</v>
      </c>
      <c r="E16" s="47">
        <v>0</v>
      </c>
      <c r="G16" s="46"/>
      <c r="H16" s="46"/>
      <c r="I16" s="46"/>
      <c r="J16" s="46"/>
      <c r="K16" s="46"/>
    </row>
    <row r="17" spans="1:11">
      <c r="A17" s="53" t="s">
        <v>19</v>
      </c>
      <c r="B17" s="20" t="s">
        <v>48</v>
      </c>
      <c r="C17" s="47">
        <v>0</v>
      </c>
      <c r="D17" s="47">
        <v>0</v>
      </c>
      <c r="E17" s="47">
        <v>0</v>
      </c>
      <c r="G17" s="46"/>
      <c r="H17" s="46"/>
      <c r="I17" s="46"/>
      <c r="J17" s="46"/>
      <c r="K17" s="46"/>
    </row>
    <row r="18" spans="1:11">
      <c r="A18" s="53" t="s">
        <v>20</v>
      </c>
      <c r="B18" s="20" t="s">
        <v>48</v>
      </c>
      <c r="C18" s="47">
        <v>0</v>
      </c>
      <c r="D18" s="47">
        <v>0</v>
      </c>
      <c r="E18" s="47">
        <v>0</v>
      </c>
      <c r="G18" s="46"/>
      <c r="H18" s="46"/>
      <c r="I18" s="46"/>
      <c r="J18" s="46"/>
      <c r="K18" s="46"/>
    </row>
    <row r="19" spans="1:11">
      <c r="A19" s="53" t="s">
        <v>84</v>
      </c>
      <c r="B19" s="20" t="s">
        <v>48</v>
      </c>
      <c r="C19" s="47">
        <v>0</v>
      </c>
      <c r="D19" s="47">
        <v>1</v>
      </c>
      <c r="E19" s="47">
        <v>0</v>
      </c>
      <c r="G19" s="46"/>
      <c r="H19" s="46"/>
      <c r="I19" s="46"/>
      <c r="J19" s="46"/>
      <c r="K19" s="46"/>
    </row>
    <row r="20" spans="1:11">
      <c r="A20" s="53" t="s">
        <v>85</v>
      </c>
      <c r="B20" s="20" t="s">
        <v>48</v>
      </c>
      <c r="C20" s="47">
        <v>0</v>
      </c>
      <c r="D20" s="47">
        <v>0</v>
      </c>
      <c r="E20" s="47">
        <v>0</v>
      </c>
      <c r="G20" s="46"/>
      <c r="H20" s="46"/>
      <c r="I20" s="46"/>
      <c r="J20" s="46"/>
      <c r="K20" s="46"/>
    </row>
    <row r="21" spans="1:11">
      <c r="A21" s="53" t="s">
        <v>146</v>
      </c>
      <c r="B21" s="20" t="s">
        <v>48</v>
      </c>
      <c r="C21" s="47">
        <v>0</v>
      </c>
      <c r="D21" s="47">
        <v>0</v>
      </c>
      <c r="E21" s="47">
        <v>1</v>
      </c>
    </row>
    <row r="22" spans="1:11">
      <c r="A22" s="53" t="s">
        <v>21</v>
      </c>
      <c r="B22" s="20" t="s">
        <v>48</v>
      </c>
      <c r="C22" s="47">
        <v>0</v>
      </c>
      <c r="D22" s="47">
        <v>0</v>
      </c>
      <c r="E22" s="47">
        <v>0</v>
      </c>
    </row>
    <row r="23" spans="1:11">
      <c r="A23" s="20" t="s">
        <v>5</v>
      </c>
      <c r="B23" s="20" t="s">
        <v>49</v>
      </c>
      <c r="C23" s="47">
        <v>0</v>
      </c>
      <c r="D23" s="47">
        <v>0</v>
      </c>
      <c r="E23" s="47">
        <v>0</v>
      </c>
    </row>
    <row r="24" spans="1:11">
      <c r="A24" s="20" t="s">
        <v>6</v>
      </c>
      <c r="B24" s="20" t="s">
        <v>49</v>
      </c>
      <c r="C24" s="47">
        <v>0</v>
      </c>
      <c r="D24" s="47">
        <v>0</v>
      </c>
      <c r="E24" s="47">
        <v>0</v>
      </c>
    </row>
    <row r="25" spans="1:11">
      <c r="A25" s="20" t="s">
        <v>7</v>
      </c>
      <c r="B25" s="20" t="s">
        <v>49</v>
      </c>
      <c r="C25" s="47">
        <v>0</v>
      </c>
      <c r="D25" s="47">
        <v>0</v>
      </c>
      <c r="E25" s="47">
        <v>0</v>
      </c>
    </row>
    <row r="26" spans="1:11">
      <c r="A26" s="20" t="s">
        <v>8</v>
      </c>
      <c r="B26" s="20" t="s">
        <v>49</v>
      </c>
      <c r="C26" s="47">
        <v>0</v>
      </c>
      <c r="D26" s="47">
        <v>0</v>
      </c>
      <c r="E26" s="47">
        <v>0</v>
      </c>
    </row>
    <row r="27" spans="1:11">
      <c r="A27" s="20" t="s">
        <v>9</v>
      </c>
      <c r="B27" s="20" t="s">
        <v>49</v>
      </c>
      <c r="C27" s="47">
        <v>1</v>
      </c>
      <c r="D27" s="47">
        <v>0</v>
      </c>
      <c r="E27" s="47">
        <v>0</v>
      </c>
    </row>
    <row r="28" spans="1:11">
      <c r="A28" s="20" t="s">
        <v>10</v>
      </c>
      <c r="B28" s="20" t="s">
        <v>49</v>
      </c>
      <c r="C28" s="47">
        <v>0</v>
      </c>
      <c r="D28" s="47">
        <v>1</v>
      </c>
      <c r="E28" s="47">
        <v>0</v>
      </c>
    </row>
    <row r="29" spans="1:11">
      <c r="A29" s="20" t="s">
        <v>11</v>
      </c>
      <c r="B29" s="20" t="s">
        <v>49</v>
      </c>
      <c r="C29" s="47">
        <v>0</v>
      </c>
      <c r="D29" s="47">
        <v>0</v>
      </c>
      <c r="E29" s="47">
        <v>0</v>
      </c>
    </row>
    <row r="30" spans="1:11">
      <c r="A30" s="20" t="s">
        <v>12</v>
      </c>
      <c r="B30" s="20" t="s">
        <v>49</v>
      </c>
      <c r="C30" s="47">
        <v>0</v>
      </c>
      <c r="D30" s="47">
        <v>0</v>
      </c>
      <c r="E30" s="47">
        <v>0</v>
      </c>
    </row>
    <row r="31" spans="1:11">
      <c r="A31" s="20" t="s">
        <v>13</v>
      </c>
      <c r="B31" s="20" t="s">
        <v>49</v>
      </c>
      <c r="C31" s="47">
        <v>0</v>
      </c>
      <c r="D31" s="47">
        <v>0</v>
      </c>
      <c r="E31" s="47">
        <v>0</v>
      </c>
    </row>
    <row r="32" spans="1:11">
      <c r="A32" s="20" t="s">
        <v>14</v>
      </c>
      <c r="B32" s="20" t="s">
        <v>49</v>
      </c>
      <c r="C32" s="47">
        <v>0</v>
      </c>
      <c r="D32" s="47">
        <v>0</v>
      </c>
      <c r="E32" s="47">
        <v>0</v>
      </c>
    </row>
    <row r="33" spans="1:5">
      <c r="A33" s="20" t="s">
        <v>15</v>
      </c>
      <c r="B33" s="20" t="s">
        <v>49</v>
      </c>
      <c r="C33" s="47">
        <v>0</v>
      </c>
      <c r="D33" s="47">
        <v>0</v>
      </c>
      <c r="E33" s="47">
        <v>0</v>
      </c>
    </row>
    <row r="34" spans="1:5">
      <c r="A34" s="20" t="s">
        <v>16</v>
      </c>
      <c r="B34" s="20" t="s">
        <v>49</v>
      </c>
      <c r="C34" s="47">
        <v>0</v>
      </c>
      <c r="D34" s="47">
        <v>0</v>
      </c>
      <c r="E34" s="47">
        <v>1</v>
      </c>
    </row>
    <row r="35" spans="1:5">
      <c r="A35" s="20" t="s">
        <v>17</v>
      </c>
      <c r="B35" s="20" t="s">
        <v>49</v>
      </c>
      <c r="C35" s="47">
        <v>0</v>
      </c>
      <c r="D35" s="47">
        <v>0</v>
      </c>
      <c r="E35" s="47">
        <v>0</v>
      </c>
    </row>
    <row r="36" spans="1:5">
      <c r="A36" s="20" t="s">
        <v>18</v>
      </c>
      <c r="B36" s="20" t="s">
        <v>49</v>
      </c>
      <c r="C36" s="47">
        <v>1</v>
      </c>
      <c r="D36" s="47">
        <v>1</v>
      </c>
      <c r="E36" s="47">
        <v>0</v>
      </c>
    </row>
    <row r="37" spans="1:5">
      <c r="A37" s="53" t="s">
        <v>19</v>
      </c>
      <c r="B37" s="20" t="s">
        <v>49</v>
      </c>
      <c r="C37" s="47">
        <v>0</v>
      </c>
      <c r="D37" s="47">
        <v>0</v>
      </c>
      <c r="E37" s="47">
        <v>0</v>
      </c>
    </row>
    <row r="38" spans="1:5">
      <c r="A38" s="53" t="s">
        <v>20</v>
      </c>
      <c r="B38" s="20" t="s">
        <v>49</v>
      </c>
      <c r="C38" s="47">
        <v>0</v>
      </c>
      <c r="D38" s="47">
        <v>0</v>
      </c>
      <c r="E38" s="47">
        <v>0</v>
      </c>
    </row>
    <row r="39" spans="1:5">
      <c r="A39" s="53" t="s">
        <v>84</v>
      </c>
      <c r="B39" s="20" t="s">
        <v>49</v>
      </c>
      <c r="C39" s="47">
        <v>0</v>
      </c>
      <c r="D39" s="47">
        <v>0</v>
      </c>
      <c r="E39" s="47">
        <v>1</v>
      </c>
    </row>
    <row r="40" spans="1:5">
      <c r="A40" s="53" t="s">
        <v>85</v>
      </c>
      <c r="B40" s="20" t="s">
        <v>49</v>
      </c>
      <c r="C40" s="47">
        <v>0</v>
      </c>
      <c r="D40" s="47">
        <v>0</v>
      </c>
      <c r="E40" s="47">
        <v>0</v>
      </c>
    </row>
    <row r="41" spans="1:5">
      <c r="A41" s="53" t="s">
        <v>146</v>
      </c>
      <c r="B41" s="20" t="s">
        <v>49</v>
      </c>
      <c r="C41" s="47">
        <v>0</v>
      </c>
      <c r="D41" s="47">
        <v>0</v>
      </c>
      <c r="E41" s="47">
        <v>0</v>
      </c>
    </row>
    <row r="42" spans="1:5">
      <c r="A42" s="53" t="s">
        <v>21</v>
      </c>
      <c r="B42" s="20" t="s">
        <v>49</v>
      </c>
      <c r="C42" s="47">
        <v>0</v>
      </c>
      <c r="D42" s="47">
        <v>0</v>
      </c>
      <c r="E42" s="47">
        <v>0</v>
      </c>
    </row>
    <row r="43" spans="1:5">
      <c r="A43" s="20" t="s">
        <v>5</v>
      </c>
      <c r="B43" s="20" t="s">
        <v>50</v>
      </c>
      <c r="C43" s="47">
        <v>1</v>
      </c>
      <c r="D43" s="47">
        <v>0</v>
      </c>
      <c r="E43" s="47">
        <v>0</v>
      </c>
    </row>
    <row r="44" spans="1:5">
      <c r="A44" s="20" t="s">
        <v>6</v>
      </c>
      <c r="B44" s="20" t="s">
        <v>50</v>
      </c>
      <c r="C44" s="47">
        <v>0</v>
      </c>
      <c r="D44" s="47">
        <v>0</v>
      </c>
      <c r="E44" s="47">
        <v>0</v>
      </c>
    </row>
    <row r="45" spans="1:5">
      <c r="A45" s="20" t="s">
        <v>7</v>
      </c>
      <c r="B45" s="20" t="s">
        <v>50</v>
      </c>
      <c r="C45" s="47">
        <v>0</v>
      </c>
      <c r="D45" s="47">
        <v>0</v>
      </c>
      <c r="E45" s="47">
        <v>0</v>
      </c>
    </row>
    <row r="46" spans="1:5">
      <c r="A46" s="20" t="s">
        <v>8</v>
      </c>
      <c r="B46" s="20" t="s">
        <v>50</v>
      </c>
      <c r="C46" s="47">
        <v>0</v>
      </c>
      <c r="D46" s="47">
        <v>0</v>
      </c>
      <c r="E46" s="47">
        <v>0</v>
      </c>
    </row>
    <row r="47" spans="1:5">
      <c r="A47" s="20" t="s">
        <v>9</v>
      </c>
      <c r="B47" s="20" t="s">
        <v>50</v>
      </c>
      <c r="C47" s="47">
        <v>0</v>
      </c>
      <c r="D47" s="47">
        <v>0</v>
      </c>
      <c r="E47" s="47">
        <v>0</v>
      </c>
    </row>
    <row r="48" spans="1:5">
      <c r="A48" s="20" t="s">
        <v>10</v>
      </c>
      <c r="B48" s="20" t="s">
        <v>50</v>
      </c>
      <c r="C48" s="47">
        <v>0</v>
      </c>
      <c r="D48" s="47">
        <v>0</v>
      </c>
      <c r="E48" s="47">
        <v>0</v>
      </c>
    </row>
    <row r="49" spans="1:5">
      <c r="A49" s="20" t="s">
        <v>11</v>
      </c>
      <c r="B49" s="20" t="s">
        <v>50</v>
      </c>
      <c r="C49" s="47">
        <v>0</v>
      </c>
      <c r="D49" s="47">
        <v>0</v>
      </c>
      <c r="E49" s="47">
        <v>0</v>
      </c>
    </row>
    <row r="50" spans="1:5">
      <c r="A50" s="20" t="s">
        <v>12</v>
      </c>
      <c r="B50" s="20" t="s">
        <v>50</v>
      </c>
      <c r="C50" s="47">
        <v>0</v>
      </c>
      <c r="D50" s="47">
        <v>0</v>
      </c>
      <c r="E50" s="47">
        <v>0</v>
      </c>
    </row>
    <row r="51" spans="1:5">
      <c r="A51" s="20" t="s">
        <v>13</v>
      </c>
      <c r="B51" s="20" t="s">
        <v>50</v>
      </c>
      <c r="C51" s="47">
        <v>0</v>
      </c>
      <c r="D51" s="47">
        <v>0</v>
      </c>
      <c r="E51" s="47">
        <v>0</v>
      </c>
    </row>
    <row r="52" spans="1:5">
      <c r="A52" s="20" t="s">
        <v>14</v>
      </c>
      <c r="B52" s="20" t="s">
        <v>50</v>
      </c>
      <c r="C52" s="47">
        <v>0</v>
      </c>
      <c r="D52" s="47">
        <v>0</v>
      </c>
      <c r="E52" s="47">
        <v>0</v>
      </c>
    </row>
    <row r="53" spans="1:5">
      <c r="A53" s="20" t="s">
        <v>15</v>
      </c>
      <c r="B53" s="20" t="s">
        <v>50</v>
      </c>
      <c r="C53" s="47">
        <v>0</v>
      </c>
      <c r="D53" s="47">
        <v>0</v>
      </c>
      <c r="E53" s="47">
        <v>0</v>
      </c>
    </row>
    <row r="54" spans="1:5">
      <c r="A54" s="20" t="s">
        <v>16</v>
      </c>
      <c r="B54" s="20" t="s">
        <v>50</v>
      </c>
      <c r="C54" s="47">
        <v>0</v>
      </c>
      <c r="D54" s="47">
        <v>0</v>
      </c>
      <c r="E54" s="47">
        <v>0</v>
      </c>
    </row>
    <row r="55" spans="1:5">
      <c r="A55" s="20" t="s">
        <v>17</v>
      </c>
      <c r="B55" s="20" t="s">
        <v>50</v>
      </c>
      <c r="C55" s="47">
        <v>0</v>
      </c>
      <c r="D55" s="47">
        <v>1</v>
      </c>
      <c r="E55" s="47">
        <v>1</v>
      </c>
    </row>
    <row r="56" spans="1:5">
      <c r="A56" s="20" t="s">
        <v>18</v>
      </c>
      <c r="B56" s="20" t="s">
        <v>50</v>
      </c>
      <c r="C56" s="47">
        <v>1</v>
      </c>
      <c r="D56" s="47">
        <v>0</v>
      </c>
      <c r="E56" s="47">
        <v>0</v>
      </c>
    </row>
    <row r="57" spans="1:5">
      <c r="A57" s="53" t="s">
        <v>19</v>
      </c>
      <c r="B57" s="20" t="s">
        <v>50</v>
      </c>
      <c r="C57" s="47">
        <v>0</v>
      </c>
      <c r="D57" s="47">
        <v>0</v>
      </c>
      <c r="E57" s="47">
        <v>0</v>
      </c>
    </row>
    <row r="58" spans="1:5">
      <c r="A58" s="53" t="s">
        <v>20</v>
      </c>
      <c r="B58" s="20" t="s">
        <v>50</v>
      </c>
      <c r="C58" s="47">
        <v>0</v>
      </c>
      <c r="D58" s="47">
        <v>0</v>
      </c>
      <c r="E58" s="47">
        <v>0</v>
      </c>
    </row>
    <row r="59" spans="1:5">
      <c r="A59" s="53" t="s">
        <v>84</v>
      </c>
      <c r="B59" s="20" t="s">
        <v>50</v>
      </c>
      <c r="C59" s="47">
        <v>0</v>
      </c>
      <c r="D59" s="47">
        <v>0</v>
      </c>
      <c r="E59" s="47">
        <v>0</v>
      </c>
    </row>
    <row r="60" spans="1:5">
      <c r="A60" s="53" t="s">
        <v>85</v>
      </c>
      <c r="B60" s="20" t="s">
        <v>50</v>
      </c>
      <c r="C60" s="47">
        <v>0</v>
      </c>
      <c r="D60" s="47">
        <v>0</v>
      </c>
      <c r="E60" s="47">
        <v>0</v>
      </c>
    </row>
    <row r="61" spans="1:5">
      <c r="A61" s="53" t="s">
        <v>146</v>
      </c>
      <c r="B61" s="20" t="s">
        <v>50</v>
      </c>
      <c r="C61" s="47">
        <v>0</v>
      </c>
      <c r="D61" s="47">
        <v>0</v>
      </c>
      <c r="E61" s="47">
        <v>0</v>
      </c>
    </row>
    <row r="62" spans="1:5">
      <c r="A62" s="53" t="s">
        <v>21</v>
      </c>
      <c r="B62" s="20" t="s">
        <v>50</v>
      </c>
      <c r="C62" s="47">
        <v>0</v>
      </c>
      <c r="D62" s="47">
        <v>0</v>
      </c>
      <c r="E62" s="47">
        <v>0</v>
      </c>
    </row>
    <row r="63" spans="1:5">
      <c r="A63" s="20" t="s">
        <v>5</v>
      </c>
      <c r="B63" s="20" t="s">
        <v>51</v>
      </c>
      <c r="C63" s="47">
        <v>0</v>
      </c>
      <c r="D63" s="47">
        <v>0</v>
      </c>
      <c r="E63" s="47">
        <v>0</v>
      </c>
    </row>
    <row r="64" spans="1:5">
      <c r="A64" s="20" t="s">
        <v>6</v>
      </c>
      <c r="B64" s="20" t="s">
        <v>51</v>
      </c>
      <c r="C64" s="47">
        <v>0</v>
      </c>
      <c r="D64" s="47">
        <v>0</v>
      </c>
      <c r="E64" s="47">
        <v>0</v>
      </c>
    </row>
    <row r="65" spans="1:5">
      <c r="A65" s="20" t="s">
        <v>7</v>
      </c>
      <c r="B65" s="20" t="s">
        <v>51</v>
      </c>
      <c r="C65" s="47">
        <v>0</v>
      </c>
      <c r="D65" s="47">
        <v>0</v>
      </c>
      <c r="E65" s="47">
        <v>0</v>
      </c>
    </row>
    <row r="66" spans="1:5">
      <c r="A66" s="20" t="s">
        <v>8</v>
      </c>
      <c r="B66" s="20" t="s">
        <v>51</v>
      </c>
      <c r="C66" s="47">
        <v>0</v>
      </c>
      <c r="D66" s="47">
        <v>0</v>
      </c>
      <c r="E66" s="47">
        <v>0</v>
      </c>
    </row>
    <row r="67" spans="1:5">
      <c r="A67" s="20" t="s">
        <v>9</v>
      </c>
      <c r="B67" s="20" t="s">
        <v>51</v>
      </c>
      <c r="C67" s="47">
        <v>0</v>
      </c>
      <c r="D67" s="47">
        <v>0</v>
      </c>
      <c r="E67" s="47">
        <v>1</v>
      </c>
    </row>
    <row r="68" spans="1:5">
      <c r="A68" s="20" t="s">
        <v>10</v>
      </c>
      <c r="B68" s="20" t="s">
        <v>51</v>
      </c>
      <c r="C68" s="47">
        <v>0</v>
      </c>
      <c r="D68" s="47">
        <v>0</v>
      </c>
      <c r="E68" s="47">
        <v>0</v>
      </c>
    </row>
    <row r="69" spans="1:5">
      <c r="A69" s="20" t="s">
        <v>11</v>
      </c>
      <c r="B69" s="20" t="s">
        <v>51</v>
      </c>
      <c r="C69" s="47">
        <v>0</v>
      </c>
      <c r="D69" s="47">
        <v>0</v>
      </c>
      <c r="E69" s="47">
        <v>0</v>
      </c>
    </row>
    <row r="70" spans="1:5">
      <c r="A70" s="20" t="s">
        <v>12</v>
      </c>
      <c r="B70" s="20" t="s">
        <v>51</v>
      </c>
      <c r="C70" s="47">
        <v>0</v>
      </c>
      <c r="D70" s="47">
        <v>0</v>
      </c>
      <c r="E70" s="47">
        <v>0</v>
      </c>
    </row>
    <row r="71" spans="1:5">
      <c r="A71" s="20" t="s">
        <v>13</v>
      </c>
      <c r="B71" s="20" t="s">
        <v>51</v>
      </c>
      <c r="C71" s="47">
        <v>0</v>
      </c>
      <c r="D71" s="47">
        <v>0</v>
      </c>
      <c r="E71" s="47">
        <v>0</v>
      </c>
    </row>
    <row r="72" spans="1:5">
      <c r="A72" s="20" t="s">
        <v>14</v>
      </c>
      <c r="B72" s="20" t="s">
        <v>51</v>
      </c>
      <c r="C72" s="47">
        <v>0</v>
      </c>
      <c r="D72" s="47">
        <v>0</v>
      </c>
      <c r="E72" s="47">
        <v>0</v>
      </c>
    </row>
    <row r="73" spans="1:5">
      <c r="A73" s="20" t="s">
        <v>15</v>
      </c>
      <c r="B73" s="20" t="s">
        <v>51</v>
      </c>
      <c r="C73" s="47">
        <v>0</v>
      </c>
      <c r="D73" s="47">
        <v>0</v>
      </c>
      <c r="E73" s="47">
        <v>0</v>
      </c>
    </row>
    <row r="74" spans="1:5">
      <c r="A74" s="20" t="s">
        <v>16</v>
      </c>
      <c r="B74" s="20" t="s">
        <v>51</v>
      </c>
      <c r="C74" s="47">
        <v>0</v>
      </c>
      <c r="D74" s="47">
        <v>1</v>
      </c>
      <c r="E74" s="47">
        <v>0</v>
      </c>
    </row>
    <row r="75" spans="1:5">
      <c r="A75" s="20" t="s">
        <v>17</v>
      </c>
      <c r="B75" s="20" t="s">
        <v>51</v>
      </c>
      <c r="C75" s="47">
        <v>1</v>
      </c>
      <c r="D75" s="47">
        <v>0</v>
      </c>
      <c r="E75" s="47">
        <v>0</v>
      </c>
    </row>
    <row r="76" spans="1:5">
      <c r="A76" s="20" t="s">
        <v>18</v>
      </c>
      <c r="B76" s="20" t="s">
        <v>51</v>
      </c>
      <c r="C76" s="47">
        <v>0</v>
      </c>
      <c r="D76" s="47">
        <v>0</v>
      </c>
      <c r="E76" s="47">
        <v>1</v>
      </c>
    </row>
    <row r="77" spans="1:5">
      <c r="A77" s="53" t="s">
        <v>19</v>
      </c>
      <c r="B77" s="20" t="s">
        <v>51</v>
      </c>
      <c r="C77" s="47">
        <v>0</v>
      </c>
      <c r="D77" s="47">
        <v>0</v>
      </c>
      <c r="E77" s="47">
        <v>0</v>
      </c>
    </row>
    <row r="78" spans="1:5">
      <c r="A78" s="53" t="s">
        <v>20</v>
      </c>
      <c r="B78" s="20" t="s">
        <v>51</v>
      </c>
      <c r="C78" s="47">
        <v>0</v>
      </c>
      <c r="D78" s="47">
        <v>0</v>
      </c>
      <c r="E78" s="47">
        <v>0</v>
      </c>
    </row>
    <row r="79" spans="1:5">
      <c r="A79" s="53" t="s">
        <v>84</v>
      </c>
      <c r="B79" s="20" t="s">
        <v>51</v>
      </c>
      <c r="C79" s="47">
        <v>1</v>
      </c>
      <c r="D79" s="47">
        <v>1</v>
      </c>
      <c r="E79" s="47">
        <v>0</v>
      </c>
    </row>
    <row r="80" spans="1:5">
      <c r="A80" s="53" t="s">
        <v>85</v>
      </c>
      <c r="B80" s="20" t="s">
        <v>51</v>
      </c>
      <c r="C80" s="47">
        <v>0</v>
      </c>
      <c r="D80" s="47">
        <v>0</v>
      </c>
      <c r="E80" s="47">
        <v>0</v>
      </c>
    </row>
    <row r="81" spans="1:5">
      <c r="A81" s="53" t="s">
        <v>146</v>
      </c>
      <c r="B81" s="20" t="s">
        <v>51</v>
      </c>
      <c r="C81" s="47">
        <v>0</v>
      </c>
      <c r="D81" s="47">
        <v>0</v>
      </c>
      <c r="E81" s="47">
        <v>0</v>
      </c>
    </row>
    <row r="82" spans="1:5">
      <c r="A82" s="53" t="s">
        <v>21</v>
      </c>
      <c r="B82" s="20" t="s">
        <v>51</v>
      </c>
      <c r="C82" s="47">
        <v>0</v>
      </c>
      <c r="D82" s="47">
        <v>0</v>
      </c>
      <c r="E82" s="47">
        <v>0</v>
      </c>
    </row>
    <row r="83" spans="1:5">
      <c r="A83" s="20" t="s">
        <v>5</v>
      </c>
      <c r="B83" s="20" t="s">
        <v>52</v>
      </c>
      <c r="C83" s="47">
        <v>0</v>
      </c>
      <c r="D83" s="47">
        <v>0</v>
      </c>
      <c r="E83" s="47">
        <v>0</v>
      </c>
    </row>
    <row r="84" spans="1:5">
      <c r="A84" s="20" t="s">
        <v>6</v>
      </c>
      <c r="B84" s="20" t="s">
        <v>52</v>
      </c>
      <c r="C84" s="47">
        <v>0</v>
      </c>
      <c r="D84" s="47">
        <v>0</v>
      </c>
      <c r="E84" s="47">
        <v>0</v>
      </c>
    </row>
    <row r="85" spans="1:5">
      <c r="A85" s="20" t="s">
        <v>7</v>
      </c>
      <c r="B85" s="20" t="s">
        <v>52</v>
      </c>
      <c r="C85" s="47">
        <v>0</v>
      </c>
      <c r="D85" s="47">
        <v>0</v>
      </c>
      <c r="E85" s="47">
        <v>0</v>
      </c>
    </row>
    <row r="86" spans="1:5">
      <c r="A86" s="20" t="s">
        <v>8</v>
      </c>
      <c r="B86" s="20" t="s">
        <v>52</v>
      </c>
      <c r="C86" s="47">
        <v>0</v>
      </c>
      <c r="D86" s="47">
        <v>0</v>
      </c>
      <c r="E86" s="47">
        <v>0</v>
      </c>
    </row>
    <row r="87" spans="1:5">
      <c r="A87" s="20" t="s">
        <v>9</v>
      </c>
      <c r="B87" s="20" t="s">
        <v>52</v>
      </c>
      <c r="C87" s="47">
        <v>0</v>
      </c>
      <c r="D87" s="47">
        <v>0</v>
      </c>
      <c r="E87" s="47">
        <v>0</v>
      </c>
    </row>
    <row r="88" spans="1:5">
      <c r="A88" s="20" t="s">
        <v>10</v>
      </c>
      <c r="B88" s="20" t="s">
        <v>52</v>
      </c>
      <c r="C88" s="47">
        <v>1</v>
      </c>
      <c r="D88" s="47">
        <v>0</v>
      </c>
      <c r="E88" s="47">
        <v>0</v>
      </c>
    </row>
    <row r="89" spans="1:5">
      <c r="A89" s="20" t="s">
        <v>11</v>
      </c>
      <c r="B89" s="20" t="s">
        <v>52</v>
      </c>
      <c r="C89" s="47">
        <v>0</v>
      </c>
      <c r="D89" s="47">
        <v>0</v>
      </c>
      <c r="E89" s="47">
        <v>0</v>
      </c>
    </row>
    <row r="90" spans="1:5">
      <c r="A90" s="20" t="s">
        <v>12</v>
      </c>
      <c r="B90" s="20" t="s">
        <v>52</v>
      </c>
      <c r="C90" s="47">
        <v>0</v>
      </c>
      <c r="D90" s="47">
        <v>0</v>
      </c>
      <c r="E90" s="47">
        <v>0</v>
      </c>
    </row>
    <row r="91" spans="1:5">
      <c r="A91" s="20" t="s">
        <v>13</v>
      </c>
      <c r="B91" s="20" t="s">
        <v>52</v>
      </c>
      <c r="C91" s="47">
        <v>0</v>
      </c>
      <c r="D91" s="47">
        <v>0</v>
      </c>
      <c r="E91" s="47">
        <v>0</v>
      </c>
    </row>
    <row r="92" spans="1:5">
      <c r="A92" s="20" t="s">
        <v>14</v>
      </c>
      <c r="B92" s="20" t="s">
        <v>52</v>
      </c>
      <c r="C92" s="47">
        <v>0</v>
      </c>
      <c r="D92" s="47">
        <v>0</v>
      </c>
      <c r="E92" s="47">
        <v>0</v>
      </c>
    </row>
    <row r="93" spans="1:5">
      <c r="A93" s="20" t="s">
        <v>15</v>
      </c>
      <c r="B93" s="20" t="s">
        <v>52</v>
      </c>
      <c r="C93" s="47">
        <v>0</v>
      </c>
      <c r="D93" s="47">
        <v>1</v>
      </c>
      <c r="E93" s="47">
        <v>0</v>
      </c>
    </row>
    <row r="94" spans="1:5">
      <c r="A94" s="20" t="s">
        <v>16</v>
      </c>
      <c r="B94" s="20" t="s">
        <v>52</v>
      </c>
      <c r="C94" s="47">
        <v>0</v>
      </c>
      <c r="D94" s="47">
        <v>0</v>
      </c>
      <c r="E94" s="47">
        <v>1</v>
      </c>
    </row>
    <row r="95" spans="1:5">
      <c r="A95" s="20" t="s">
        <v>17</v>
      </c>
      <c r="B95" s="20" t="s">
        <v>52</v>
      </c>
      <c r="C95" s="47">
        <v>0</v>
      </c>
      <c r="D95" s="47">
        <v>0</v>
      </c>
      <c r="E95" s="47">
        <v>0</v>
      </c>
    </row>
    <row r="96" spans="1:5">
      <c r="A96" s="20" t="s">
        <v>18</v>
      </c>
      <c r="B96" s="20" t="s">
        <v>52</v>
      </c>
      <c r="C96" s="47">
        <v>1</v>
      </c>
      <c r="D96" s="47">
        <v>0</v>
      </c>
      <c r="E96" s="47">
        <v>0</v>
      </c>
    </row>
    <row r="97" spans="1:5">
      <c r="A97" s="53" t="s">
        <v>19</v>
      </c>
      <c r="B97" s="20" t="s">
        <v>52</v>
      </c>
      <c r="C97" s="47">
        <v>0</v>
      </c>
      <c r="D97" s="47">
        <v>0</v>
      </c>
      <c r="E97" s="47">
        <v>0</v>
      </c>
    </row>
    <row r="98" spans="1:5">
      <c r="A98" s="53" t="s">
        <v>20</v>
      </c>
      <c r="B98" s="20" t="s">
        <v>52</v>
      </c>
      <c r="C98" s="47">
        <v>0</v>
      </c>
      <c r="D98" s="47">
        <v>0</v>
      </c>
      <c r="E98" s="47">
        <v>0</v>
      </c>
    </row>
    <row r="99" spans="1:5">
      <c r="A99" s="53" t="s">
        <v>84</v>
      </c>
      <c r="B99" s="20" t="s">
        <v>52</v>
      </c>
      <c r="C99" s="47">
        <v>0</v>
      </c>
      <c r="D99" s="47">
        <v>0</v>
      </c>
      <c r="E99" s="47">
        <v>0</v>
      </c>
    </row>
    <row r="100" spans="1:5">
      <c r="A100" s="53" t="s">
        <v>85</v>
      </c>
      <c r="B100" s="20" t="s">
        <v>52</v>
      </c>
      <c r="C100" s="47">
        <v>0</v>
      </c>
      <c r="D100" s="47">
        <v>0</v>
      </c>
      <c r="E100" s="47">
        <v>0</v>
      </c>
    </row>
    <row r="101" spans="1:5">
      <c r="A101" s="11" t="s">
        <v>146</v>
      </c>
      <c r="B101" s="20" t="s">
        <v>52</v>
      </c>
      <c r="C101" s="47">
        <v>0</v>
      </c>
      <c r="D101" s="47">
        <v>0</v>
      </c>
      <c r="E101" s="47">
        <v>0</v>
      </c>
    </row>
    <row r="102" spans="1:5">
      <c r="A102" s="11" t="s">
        <v>21</v>
      </c>
      <c r="B102" s="20" t="s">
        <v>52</v>
      </c>
      <c r="C102" s="47">
        <v>0</v>
      </c>
      <c r="D102" s="47">
        <v>0</v>
      </c>
      <c r="E102" s="47">
        <v>0</v>
      </c>
    </row>
    <row r="103" spans="1:5">
      <c r="A103" s="20" t="s">
        <v>5</v>
      </c>
      <c r="B103" s="20" t="s">
        <v>53</v>
      </c>
      <c r="C103" s="47">
        <v>0</v>
      </c>
      <c r="D103" s="47">
        <v>0</v>
      </c>
      <c r="E103" s="47">
        <v>0</v>
      </c>
    </row>
    <row r="104" spans="1:5">
      <c r="A104" s="20" t="s">
        <v>6</v>
      </c>
      <c r="B104" s="20" t="s">
        <v>53</v>
      </c>
      <c r="C104" s="47">
        <v>0</v>
      </c>
      <c r="D104" s="47">
        <v>0</v>
      </c>
      <c r="E104" s="47">
        <v>0</v>
      </c>
    </row>
    <row r="105" spans="1:5">
      <c r="A105" s="20" t="s">
        <v>7</v>
      </c>
      <c r="B105" s="20" t="s">
        <v>53</v>
      </c>
      <c r="C105" s="47">
        <v>0</v>
      </c>
      <c r="D105" s="47">
        <v>0</v>
      </c>
      <c r="E105" s="47">
        <v>0</v>
      </c>
    </row>
    <row r="106" spans="1:5">
      <c r="A106" s="20" t="s">
        <v>8</v>
      </c>
      <c r="B106" s="20" t="s">
        <v>53</v>
      </c>
      <c r="C106" s="47">
        <v>0</v>
      </c>
      <c r="D106" s="47">
        <v>1</v>
      </c>
      <c r="E106" s="47">
        <v>0</v>
      </c>
    </row>
    <row r="107" spans="1:5">
      <c r="A107" s="20" t="s">
        <v>9</v>
      </c>
      <c r="B107" s="20" t="s">
        <v>53</v>
      </c>
      <c r="C107" s="47">
        <v>0</v>
      </c>
      <c r="D107" s="47">
        <v>0</v>
      </c>
      <c r="E107" s="47">
        <v>0</v>
      </c>
    </row>
    <row r="108" spans="1:5">
      <c r="A108" s="20" t="s">
        <v>10</v>
      </c>
      <c r="B108" s="20" t="s">
        <v>53</v>
      </c>
      <c r="C108" s="47">
        <v>1</v>
      </c>
      <c r="D108" s="47">
        <v>0</v>
      </c>
      <c r="E108" s="47">
        <v>0</v>
      </c>
    </row>
    <row r="109" spans="1:5">
      <c r="A109" s="20" t="s">
        <v>11</v>
      </c>
      <c r="B109" s="20" t="s">
        <v>53</v>
      </c>
      <c r="C109" s="47">
        <v>0</v>
      </c>
      <c r="D109" s="47">
        <v>0</v>
      </c>
      <c r="E109" s="47">
        <v>0</v>
      </c>
    </row>
    <row r="110" spans="1:5">
      <c r="A110" s="20" t="s">
        <v>12</v>
      </c>
      <c r="B110" s="20" t="s">
        <v>53</v>
      </c>
      <c r="C110" s="47">
        <v>0</v>
      </c>
      <c r="D110" s="47">
        <v>0</v>
      </c>
      <c r="E110" s="47">
        <v>0</v>
      </c>
    </row>
    <row r="111" spans="1:5">
      <c r="A111" s="20" t="s">
        <v>13</v>
      </c>
      <c r="B111" s="20" t="s">
        <v>53</v>
      </c>
      <c r="C111" s="47">
        <v>0</v>
      </c>
      <c r="D111" s="47">
        <v>0</v>
      </c>
      <c r="E111" s="47">
        <v>0</v>
      </c>
    </row>
    <row r="112" spans="1:5">
      <c r="A112" s="20" t="s">
        <v>14</v>
      </c>
      <c r="B112" s="20" t="s">
        <v>53</v>
      </c>
      <c r="C112" s="47">
        <v>0</v>
      </c>
      <c r="D112" s="47">
        <v>0</v>
      </c>
      <c r="E112" s="47">
        <v>0</v>
      </c>
    </row>
    <row r="113" spans="1:5">
      <c r="A113" s="20" t="s">
        <v>15</v>
      </c>
      <c r="B113" s="20" t="s">
        <v>53</v>
      </c>
      <c r="C113" s="47">
        <v>0</v>
      </c>
      <c r="D113" s="47">
        <v>0</v>
      </c>
      <c r="E113" s="47">
        <v>0</v>
      </c>
    </row>
    <row r="114" spans="1:5">
      <c r="A114" s="20" t="s">
        <v>16</v>
      </c>
      <c r="B114" s="20" t="s">
        <v>53</v>
      </c>
      <c r="C114" s="47">
        <v>0</v>
      </c>
      <c r="D114" s="47">
        <v>0</v>
      </c>
      <c r="E114" s="47">
        <v>0</v>
      </c>
    </row>
    <row r="115" spans="1:5">
      <c r="A115" s="20" t="s">
        <v>17</v>
      </c>
      <c r="B115" s="20" t="s">
        <v>53</v>
      </c>
      <c r="C115" s="47">
        <v>0</v>
      </c>
      <c r="D115" s="47">
        <v>0</v>
      </c>
      <c r="E115" s="47">
        <v>1</v>
      </c>
    </row>
    <row r="116" spans="1:5">
      <c r="A116" s="20" t="s">
        <v>18</v>
      </c>
      <c r="B116" s="20" t="s">
        <v>53</v>
      </c>
      <c r="C116" s="47">
        <v>1</v>
      </c>
      <c r="D116" s="47">
        <v>1</v>
      </c>
      <c r="E116" s="47">
        <v>0</v>
      </c>
    </row>
    <row r="117" spans="1:5">
      <c r="A117" s="11" t="s">
        <v>19</v>
      </c>
      <c r="B117" s="20" t="s">
        <v>53</v>
      </c>
      <c r="C117" s="47">
        <v>0</v>
      </c>
      <c r="D117" s="47">
        <v>0</v>
      </c>
      <c r="E117" s="47">
        <v>0</v>
      </c>
    </row>
    <row r="118" spans="1:5">
      <c r="A118" s="11" t="s">
        <v>20</v>
      </c>
      <c r="B118" s="20" t="s">
        <v>53</v>
      </c>
      <c r="C118" s="47">
        <v>0</v>
      </c>
      <c r="D118" s="47">
        <v>0</v>
      </c>
      <c r="E118" s="47">
        <v>0</v>
      </c>
    </row>
    <row r="119" spans="1:5">
      <c r="A119" s="11" t="s">
        <v>84</v>
      </c>
      <c r="B119" s="20" t="s">
        <v>53</v>
      </c>
      <c r="C119" s="47">
        <v>0</v>
      </c>
      <c r="D119" s="47">
        <v>0</v>
      </c>
      <c r="E119" s="47">
        <v>0</v>
      </c>
    </row>
    <row r="120" spans="1:5">
      <c r="A120" s="11" t="s">
        <v>85</v>
      </c>
      <c r="B120" s="20" t="s">
        <v>53</v>
      </c>
      <c r="C120" s="47">
        <v>0</v>
      </c>
      <c r="D120" s="47">
        <v>0</v>
      </c>
      <c r="E120" s="47">
        <v>0</v>
      </c>
    </row>
    <row r="121" spans="1:5">
      <c r="A121" s="11" t="s">
        <v>146</v>
      </c>
      <c r="B121" s="20" t="s">
        <v>53</v>
      </c>
      <c r="C121" s="47">
        <v>0</v>
      </c>
      <c r="D121" s="47">
        <v>0</v>
      </c>
      <c r="E121" s="47">
        <v>0</v>
      </c>
    </row>
    <row r="122" spans="1:5">
      <c r="A122" s="11" t="s">
        <v>21</v>
      </c>
      <c r="B122" s="20" t="s">
        <v>53</v>
      </c>
      <c r="C122" s="47">
        <v>0</v>
      </c>
      <c r="D122" s="47">
        <v>0</v>
      </c>
      <c r="E122" s="47">
        <v>0</v>
      </c>
    </row>
    <row r="123" spans="1:5">
      <c r="A123" s="20" t="s">
        <v>5</v>
      </c>
      <c r="B123" s="20" t="s">
        <v>54</v>
      </c>
      <c r="C123" s="47">
        <v>0</v>
      </c>
      <c r="D123" s="47">
        <v>0</v>
      </c>
      <c r="E123" s="47">
        <v>0</v>
      </c>
    </row>
    <row r="124" spans="1:5">
      <c r="A124" s="20" t="s">
        <v>6</v>
      </c>
      <c r="B124" s="20" t="s">
        <v>54</v>
      </c>
      <c r="C124" s="47">
        <v>0</v>
      </c>
      <c r="D124" s="47">
        <v>0</v>
      </c>
      <c r="E124" s="47">
        <v>0</v>
      </c>
    </row>
    <row r="125" spans="1:5">
      <c r="A125" s="20" t="s">
        <v>7</v>
      </c>
      <c r="B125" s="20" t="s">
        <v>54</v>
      </c>
      <c r="C125" s="47">
        <v>0</v>
      </c>
      <c r="D125" s="47">
        <v>0</v>
      </c>
      <c r="E125" s="47">
        <v>0</v>
      </c>
    </row>
    <row r="126" spans="1:5">
      <c r="A126" s="20" t="s">
        <v>8</v>
      </c>
      <c r="B126" s="20" t="s">
        <v>54</v>
      </c>
      <c r="C126" s="47">
        <v>0</v>
      </c>
      <c r="D126" s="47">
        <v>1</v>
      </c>
      <c r="E126" s="47">
        <v>0</v>
      </c>
    </row>
    <row r="127" spans="1:5">
      <c r="A127" s="20" t="s">
        <v>9</v>
      </c>
      <c r="B127" s="20" t="s">
        <v>54</v>
      </c>
      <c r="C127" s="47">
        <v>0</v>
      </c>
      <c r="D127" s="47">
        <v>0</v>
      </c>
      <c r="E127" s="47">
        <v>1</v>
      </c>
    </row>
    <row r="128" spans="1:5">
      <c r="A128" s="20" t="s">
        <v>10</v>
      </c>
      <c r="B128" s="20" t="s">
        <v>54</v>
      </c>
      <c r="C128" s="47">
        <v>0</v>
      </c>
      <c r="D128" s="47">
        <v>0</v>
      </c>
      <c r="E128" s="47">
        <v>0</v>
      </c>
    </row>
    <row r="129" spans="1:5">
      <c r="A129" s="20" t="s">
        <v>11</v>
      </c>
      <c r="B129" s="20" t="s">
        <v>54</v>
      </c>
      <c r="C129" s="47">
        <v>0</v>
      </c>
      <c r="D129" s="47">
        <v>0</v>
      </c>
      <c r="E129" s="47">
        <v>0</v>
      </c>
    </row>
    <row r="130" spans="1:5">
      <c r="A130" s="20" t="s">
        <v>12</v>
      </c>
      <c r="B130" s="20" t="s">
        <v>54</v>
      </c>
      <c r="C130" s="47">
        <v>0</v>
      </c>
      <c r="D130" s="47">
        <v>0</v>
      </c>
      <c r="E130" s="47">
        <v>0</v>
      </c>
    </row>
    <row r="131" spans="1:5">
      <c r="A131" s="20" t="s">
        <v>13</v>
      </c>
      <c r="B131" s="20" t="s">
        <v>54</v>
      </c>
      <c r="C131" s="47">
        <v>0</v>
      </c>
      <c r="D131" s="47">
        <v>0</v>
      </c>
      <c r="E131" s="47">
        <v>0</v>
      </c>
    </row>
    <row r="132" spans="1:5">
      <c r="A132" s="20" t="s">
        <v>14</v>
      </c>
      <c r="B132" s="20" t="s">
        <v>54</v>
      </c>
      <c r="C132" s="47">
        <v>0</v>
      </c>
      <c r="D132" s="47">
        <v>0</v>
      </c>
      <c r="E132" s="47">
        <v>0</v>
      </c>
    </row>
    <row r="133" spans="1:5">
      <c r="A133" s="20" t="s">
        <v>15</v>
      </c>
      <c r="B133" s="20" t="s">
        <v>54</v>
      </c>
      <c r="C133" s="47">
        <v>0</v>
      </c>
      <c r="D133" s="47">
        <v>0</v>
      </c>
      <c r="E133" s="47">
        <v>0</v>
      </c>
    </row>
    <row r="134" spans="1:5">
      <c r="A134" s="20" t="s">
        <v>16</v>
      </c>
      <c r="B134" s="20" t="s">
        <v>54</v>
      </c>
      <c r="C134" s="47">
        <v>1</v>
      </c>
      <c r="D134" s="47">
        <v>0</v>
      </c>
      <c r="E134" s="47">
        <v>0</v>
      </c>
    </row>
    <row r="135" spans="1:5">
      <c r="A135" s="20" t="s">
        <v>17</v>
      </c>
      <c r="B135" s="20" t="s">
        <v>54</v>
      </c>
      <c r="C135" s="47">
        <v>0</v>
      </c>
      <c r="D135" s="47">
        <v>0</v>
      </c>
      <c r="E135" s="47">
        <v>0</v>
      </c>
    </row>
    <row r="136" spans="1:5">
      <c r="A136" s="20" t="s">
        <v>18</v>
      </c>
      <c r="B136" s="20" t="s">
        <v>54</v>
      </c>
      <c r="C136" s="47">
        <v>0</v>
      </c>
      <c r="D136" s="47">
        <v>1</v>
      </c>
      <c r="E136" s="47">
        <v>1</v>
      </c>
    </row>
    <row r="137" spans="1:5">
      <c r="A137" s="11" t="s">
        <v>19</v>
      </c>
      <c r="B137" s="20" t="s">
        <v>54</v>
      </c>
      <c r="C137" s="47">
        <v>0</v>
      </c>
      <c r="D137" s="47">
        <v>0</v>
      </c>
      <c r="E137" s="47">
        <v>0</v>
      </c>
    </row>
    <row r="138" spans="1:5">
      <c r="A138" s="11" t="s">
        <v>20</v>
      </c>
      <c r="B138" s="20" t="s">
        <v>54</v>
      </c>
      <c r="C138" s="47">
        <v>0</v>
      </c>
      <c r="D138" s="47">
        <v>0</v>
      </c>
      <c r="E138" s="47">
        <v>0</v>
      </c>
    </row>
    <row r="139" spans="1:5">
      <c r="A139" s="11" t="s">
        <v>84</v>
      </c>
      <c r="B139" s="20" t="s">
        <v>54</v>
      </c>
      <c r="C139" s="47">
        <v>0</v>
      </c>
      <c r="D139" s="47">
        <v>0</v>
      </c>
      <c r="E139" s="47">
        <v>0</v>
      </c>
    </row>
    <row r="140" spans="1:5">
      <c r="A140" s="11" t="s">
        <v>85</v>
      </c>
      <c r="B140" s="20" t="s">
        <v>54</v>
      </c>
      <c r="C140" s="47">
        <v>0</v>
      </c>
      <c r="D140" s="47">
        <v>0</v>
      </c>
      <c r="E140" s="47">
        <v>0</v>
      </c>
    </row>
    <row r="141" spans="1:5">
      <c r="A141" s="11" t="s">
        <v>146</v>
      </c>
      <c r="B141" s="20" t="s">
        <v>54</v>
      </c>
      <c r="C141" s="47">
        <v>0</v>
      </c>
      <c r="D141" s="47">
        <v>0</v>
      </c>
      <c r="E141" s="47">
        <v>0</v>
      </c>
    </row>
    <row r="142" spans="1:5">
      <c r="A142" s="11" t="s">
        <v>21</v>
      </c>
      <c r="B142" s="20" t="s">
        <v>54</v>
      </c>
      <c r="C142" s="47">
        <v>0</v>
      </c>
      <c r="D142" s="47">
        <v>0</v>
      </c>
      <c r="E142" s="47">
        <v>0</v>
      </c>
    </row>
    <row r="143" spans="1:5">
      <c r="A143" s="20" t="s">
        <v>5</v>
      </c>
      <c r="B143" s="20" t="s">
        <v>120</v>
      </c>
      <c r="C143" s="47">
        <v>0</v>
      </c>
      <c r="D143" s="47">
        <v>0</v>
      </c>
      <c r="E143" s="47">
        <v>0</v>
      </c>
    </row>
    <row r="144" spans="1:5">
      <c r="A144" s="20" t="s">
        <v>6</v>
      </c>
      <c r="B144" s="20" t="s">
        <v>120</v>
      </c>
      <c r="C144" s="47">
        <v>0</v>
      </c>
      <c r="D144" s="47">
        <v>0</v>
      </c>
      <c r="E144" s="47">
        <v>0</v>
      </c>
    </row>
    <row r="145" spans="1:5">
      <c r="A145" s="20" t="s">
        <v>7</v>
      </c>
      <c r="B145" s="20" t="s">
        <v>120</v>
      </c>
      <c r="C145" s="47">
        <v>0</v>
      </c>
      <c r="D145" s="47">
        <v>0</v>
      </c>
      <c r="E145" s="47">
        <v>0</v>
      </c>
    </row>
    <row r="146" spans="1:5">
      <c r="A146" s="20" t="s">
        <v>8</v>
      </c>
      <c r="B146" s="20" t="s">
        <v>120</v>
      </c>
      <c r="C146" s="47">
        <v>0</v>
      </c>
      <c r="D146" s="47">
        <v>0</v>
      </c>
      <c r="E146" s="47">
        <v>0</v>
      </c>
    </row>
    <row r="147" spans="1:5">
      <c r="A147" s="20" t="s">
        <v>9</v>
      </c>
      <c r="B147" s="20" t="s">
        <v>120</v>
      </c>
      <c r="C147" s="47">
        <v>0</v>
      </c>
      <c r="D147" s="47">
        <v>0</v>
      </c>
      <c r="E147" s="47">
        <v>1</v>
      </c>
    </row>
    <row r="148" spans="1:5">
      <c r="A148" s="20" t="s">
        <v>10</v>
      </c>
      <c r="B148" s="20" t="s">
        <v>120</v>
      </c>
      <c r="C148" s="47">
        <v>0</v>
      </c>
      <c r="D148" s="47">
        <v>0</v>
      </c>
      <c r="E148" s="47">
        <v>0</v>
      </c>
    </row>
    <row r="149" spans="1:5">
      <c r="A149" s="20" t="s">
        <v>11</v>
      </c>
      <c r="B149" s="20" t="s">
        <v>120</v>
      </c>
      <c r="C149" s="47">
        <v>0</v>
      </c>
      <c r="D149" s="47">
        <v>0</v>
      </c>
      <c r="E149" s="47">
        <v>0</v>
      </c>
    </row>
    <row r="150" spans="1:5">
      <c r="A150" s="20" t="s">
        <v>12</v>
      </c>
      <c r="B150" s="20" t="s">
        <v>120</v>
      </c>
      <c r="C150" s="47">
        <v>0</v>
      </c>
      <c r="D150" s="47">
        <v>0</v>
      </c>
      <c r="E150" s="47">
        <v>0</v>
      </c>
    </row>
    <row r="151" spans="1:5">
      <c r="A151" s="20" t="s">
        <v>13</v>
      </c>
      <c r="B151" s="20" t="s">
        <v>120</v>
      </c>
      <c r="C151" s="47">
        <v>0</v>
      </c>
      <c r="D151" s="47">
        <v>0</v>
      </c>
      <c r="E151" s="47">
        <v>0</v>
      </c>
    </row>
    <row r="152" spans="1:5">
      <c r="A152" s="20" t="s">
        <v>14</v>
      </c>
      <c r="B152" s="20" t="s">
        <v>120</v>
      </c>
      <c r="C152" s="47">
        <v>0</v>
      </c>
      <c r="D152" s="47">
        <v>0</v>
      </c>
      <c r="E152" s="47">
        <v>0</v>
      </c>
    </row>
    <row r="153" spans="1:5">
      <c r="A153" s="20" t="s">
        <v>15</v>
      </c>
      <c r="B153" s="20" t="s">
        <v>120</v>
      </c>
      <c r="C153" s="47">
        <v>0</v>
      </c>
      <c r="D153" s="47">
        <v>0</v>
      </c>
      <c r="E153" s="47">
        <v>0</v>
      </c>
    </row>
    <row r="154" spans="1:5">
      <c r="A154" s="20" t="s">
        <v>16</v>
      </c>
      <c r="B154" s="20" t="s">
        <v>120</v>
      </c>
      <c r="C154" s="47">
        <v>1</v>
      </c>
      <c r="D154" s="47">
        <v>0</v>
      </c>
      <c r="E154" s="47">
        <v>0</v>
      </c>
    </row>
    <row r="155" spans="1:5">
      <c r="A155" s="20" t="s">
        <v>17</v>
      </c>
      <c r="B155" s="20" t="s">
        <v>120</v>
      </c>
      <c r="C155" s="47">
        <v>0</v>
      </c>
      <c r="D155" s="47">
        <v>1</v>
      </c>
      <c r="E155" s="47">
        <v>0</v>
      </c>
    </row>
    <row r="156" spans="1:5">
      <c r="A156" s="20" t="s">
        <v>18</v>
      </c>
      <c r="B156" s="20" t="s">
        <v>120</v>
      </c>
      <c r="C156" s="47">
        <v>0</v>
      </c>
      <c r="D156" s="47">
        <v>0</v>
      </c>
      <c r="E156" s="47">
        <v>1</v>
      </c>
    </row>
    <row r="157" spans="1:5">
      <c r="A157" s="53" t="s">
        <v>19</v>
      </c>
      <c r="B157" s="20" t="s">
        <v>120</v>
      </c>
      <c r="C157" s="47">
        <v>0</v>
      </c>
      <c r="D157" s="47">
        <v>0</v>
      </c>
      <c r="E157" s="47">
        <v>0</v>
      </c>
    </row>
    <row r="158" spans="1:5">
      <c r="A158" s="53" t="s">
        <v>20</v>
      </c>
      <c r="B158" s="20" t="s">
        <v>120</v>
      </c>
      <c r="C158" s="47">
        <v>0</v>
      </c>
      <c r="D158" s="47">
        <v>0</v>
      </c>
      <c r="E158" s="47">
        <v>0</v>
      </c>
    </row>
    <row r="159" spans="1:5">
      <c r="A159" s="53" t="s">
        <v>84</v>
      </c>
      <c r="B159" s="20" t="s">
        <v>120</v>
      </c>
      <c r="C159" s="47">
        <v>0</v>
      </c>
      <c r="D159" s="47">
        <v>0</v>
      </c>
      <c r="E159" s="47">
        <v>0</v>
      </c>
    </row>
    <row r="160" spans="1:5">
      <c r="A160" s="53" t="s">
        <v>85</v>
      </c>
      <c r="B160" s="20" t="s">
        <v>120</v>
      </c>
      <c r="C160" s="47">
        <v>0</v>
      </c>
      <c r="D160" s="47">
        <v>0</v>
      </c>
      <c r="E160" s="47">
        <v>0</v>
      </c>
    </row>
    <row r="161" spans="1:5">
      <c r="A161" s="53" t="s">
        <v>146</v>
      </c>
      <c r="B161" s="20" t="s">
        <v>120</v>
      </c>
      <c r="C161" s="47">
        <v>0</v>
      </c>
      <c r="D161" s="47">
        <v>0</v>
      </c>
      <c r="E161" s="47">
        <v>0</v>
      </c>
    </row>
    <row r="162" spans="1:5">
      <c r="A162" s="53" t="s">
        <v>21</v>
      </c>
      <c r="B162" s="20" t="s">
        <v>120</v>
      </c>
      <c r="C162" s="47">
        <v>0</v>
      </c>
      <c r="D162" s="47">
        <v>0</v>
      </c>
      <c r="E162" s="47">
        <v>0</v>
      </c>
    </row>
    <row r="163" spans="1:5">
      <c r="A163" s="20" t="s">
        <v>5</v>
      </c>
      <c r="B163" s="20" t="s">
        <v>121</v>
      </c>
      <c r="C163" s="47">
        <v>0</v>
      </c>
      <c r="D163" s="47">
        <v>0</v>
      </c>
      <c r="E163" s="47">
        <v>0</v>
      </c>
    </row>
    <row r="164" spans="1:5">
      <c r="A164" s="20" t="s">
        <v>6</v>
      </c>
      <c r="B164" s="20" t="s">
        <v>121</v>
      </c>
      <c r="C164" s="47">
        <v>0</v>
      </c>
      <c r="D164" s="47">
        <v>0</v>
      </c>
      <c r="E164" s="47">
        <v>0</v>
      </c>
    </row>
    <row r="165" spans="1:5">
      <c r="A165" s="20" t="s">
        <v>7</v>
      </c>
      <c r="B165" s="20" t="s">
        <v>121</v>
      </c>
      <c r="C165" s="47">
        <v>0</v>
      </c>
      <c r="D165" s="47">
        <v>0</v>
      </c>
      <c r="E165" s="47">
        <v>0</v>
      </c>
    </row>
    <row r="166" spans="1:5">
      <c r="A166" s="20" t="s">
        <v>8</v>
      </c>
      <c r="B166" s="20" t="s">
        <v>121</v>
      </c>
      <c r="C166" s="47">
        <v>0</v>
      </c>
      <c r="D166" s="47">
        <v>0</v>
      </c>
      <c r="E166" s="47">
        <v>0</v>
      </c>
    </row>
    <row r="167" spans="1:5">
      <c r="A167" s="20" t="s">
        <v>9</v>
      </c>
      <c r="B167" s="20" t="s">
        <v>121</v>
      </c>
      <c r="C167" s="47">
        <v>0</v>
      </c>
      <c r="D167" s="47">
        <v>0</v>
      </c>
      <c r="E167" s="47">
        <v>1</v>
      </c>
    </row>
    <row r="168" spans="1:5">
      <c r="A168" s="20" t="s">
        <v>10</v>
      </c>
      <c r="B168" s="20" t="s">
        <v>121</v>
      </c>
      <c r="C168" s="47">
        <v>0</v>
      </c>
      <c r="D168" s="47">
        <v>0</v>
      </c>
      <c r="E168" s="47">
        <v>0</v>
      </c>
    </row>
    <row r="169" spans="1:5">
      <c r="A169" s="20" t="s">
        <v>11</v>
      </c>
      <c r="B169" s="20" t="s">
        <v>121</v>
      </c>
      <c r="C169" s="47">
        <v>0</v>
      </c>
      <c r="D169" s="47">
        <v>0</v>
      </c>
      <c r="E169" s="47">
        <v>0</v>
      </c>
    </row>
    <row r="170" spans="1:5">
      <c r="A170" s="20" t="s">
        <v>12</v>
      </c>
      <c r="B170" s="20" t="s">
        <v>121</v>
      </c>
      <c r="C170" s="47">
        <v>0</v>
      </c>
      <c r="D170" s="47">
        <v>0</v>
      </c>
      <c r="E170" s="47">
        <v>0</v>
      </c>
    </row>
    <row r="171" spans="1:5">
      <c r="A171" s="20" t="s">
        <v>13</v>
      </c>
      <c r="B171" s="20" t="s">
        <v>121</v>
      </c>
      <c r="C171" s="47">
        <v>0</v>
      </c>
      <c r="D171" s="47">
        <v>0</v>
      </c>
      <c r="E171" s="47">
        <v>0</v>
      </c>
    </row>
    <row r="172" spans="1:5">
      <c r="A172" s="20" t="s">
        <v>14</v>
      </c>
      <c r="B172" s="20" t="s">
        <v>121</v>
      </c>
      <c r="C172" s="47">
        <v>0</v>
      </c>
      <c r="D172" s="47">
        <v>0</v>
      </c>
      <c r="E172" s="47">
        <v>0</v>
      </c>
    </row>
    <row r="173" spans="1:5">
      <c r="A173" s="20" t="s">
        <v>15</v>
      </c>
      <c r="B173" s="20" t="s">
        <v>121</v>
      </c>
      <c r="C173" s="47">
        <v>0</v>
      </c>
      <c r="D173" s="47">
        <v>0</v>
      </c>
      <c r="E173" s="47">
        <v>0</v>
      </c>
    </row>
    <row r="174" spans="1:5">
      <c r="A174" s="20" t="s">
        <v>16</v>
      </c>
      <c r="B174" s="20" t="s">
        <v>121</v>
      </c>
      <c r="C174" s="47">
        <v>1</v>
      </c>
      <c r="D174" s="47">
        <v>0</v>
      </c>
      <c r="E174" s="47">
        <v>0</v>
      </c>
    </row>
    <row r="175" spans="1:5">
      <c r="A175" s="20" t="s">
        <v>17</v>
      </c>
      <c r="B175" s="20" t="s">
        <v>121</v>
      </c>
      <c r="C175" s="47">
        <v>0</v>
      </c>
      <c r="D175" s="47">
        <v>1</v>
      </c>
      <c r="E175" s="47">
        <v>0</v>
      </c>
    </row>
    <row r="176" spans="1:5">
      <c r="A176" s="20" t="s">
        <v>18</v>
      </c>
      <c r="B176" s="20" t="s">
        <v>121</v>
      </c>
      <c r="C176" s="47">
        <v>0</v>
      </c>
      <c r="D176" s="47">
        <v>0</v>
      </c>
      <c r="E176" s="47">
        <v>1</v>
      </c>
    </row>
    <row r="177" spans="1:5">
      <c r="A177" s="53" t="s">
        <v>19</v>
      </c>
      <c r="B177" s="20" t="s">
        <v>121</v>
      </c>
      <c r="C177" s="47">
        <v>0</v>
      </c>
      <c r="D177" s="47">
        <v>0</v>
      </c>
      <c r="E177" s="47">
        <v>0</v>
      </c>
    </row>
    <row r="178" spans="1:5">
      <c r="A178" s="53" t="s">
        <v>20</v>
      </c>
      <c r="B178" s="20" t="s">
        <v>121</v>
      </c>
      <c r="C178" s="47">
        <v>0</v>
      </c>
      <c r="D178" s="47">
        <v>0</v>
      </c>
      <c r="E178" s="47">
        <v>0</v>
      </c>
    </row>
    <row r="179" spans="1:5">
      <c r="A179" s="53" t="s">
        <v>84</v>
      </c>
      <c r="B179" s="20" t="s">
        <v>121</v>
      </c>
      <c r="C179" s="47">
        <v>0</v>
      </c>
      <c r="D179" s="47">
        <v>0</v>
      </c>
      <c r="E179" s="47">
        <v>0</v>
      </c>
    </row>
    <row r="180" spans="1:5">
      <c r="A180" s="53" t="s">
        <v>85</v>
      </c>
      <c r="B180" s="20" t="s">
        <v>121</v>
      </c>
      <c r="C180" s="47">
        <v>0</v>
      </c>
      <c r="D180" s="47">
        <v>0</v>
      </c>
      <c r="E180" s="47">
        <v>0</v>
      </c>
    </row>
    <row r="181" spans="1:5">
      <c r="A181" s="53" t="s">
        <v>146</v>
      </c>
      <c r="B181" s="20" t="s">
        <v>121</v>
      </c>
      <c r="C181" s="47">
        <v>0</v>
      </c>
      <c r="D181" s="47">
        <v>0</v>
      </c>
      <c r="E181" s="47">
        <v>0</v>
      </c>
    </row>
    <row r="182" spans="1:5">
      <c r="A182" s="53" t="s">
        <v>21</v>
      </c>
      <c r="B182" s="20" t="s">
        <v>121</v>
      </c>
      <c r="C182" s="47">
        <v>0</v>
      </c>
      <c r="D182" s="47">
        <v>0</v>
      </c>
      <c r="E182" s="47">
        <v>0</v>
      </c>
    </row>
    <row r="183" spans="1:5">
      <c r="A183" s="20" t="s">
        <v>5</v>
      </c>
      <c r="B183" s="20" t="s">
        <v>122</v>
      </c>
      <c r="C183" s="47">
        <v>0</v>
      </c>
      <c r="D183" s="47">
        <v>0</v>
      </c>
      <c r="E183" s="47">
        <v>0</v>
      </c>
    </row>
    <row r="184" spans="1:5">
      <c r="A184" s="20" t="s">
        <v>6</v>
      </c>
      <c r="B184" s="20" t="s">
        <v>122</v>
      </c>
      <c r="C184" s="47">
        <v>0</v>
      </c>
      <c r="D184" s="47">
        <v>0</v>
      </c>
      <c r="E184" s="47">
        <v>0</v>
      </c>
    </row>
    <row r="185" spans="1:5">
      <c r="A185" s="20" t="s">
        <v>7</v>
      </c>
      <c r="B185" s="20" t="s">
        <v>122</v>
      </c>
      <c r="C185" s="47">
        <v>0</v>
      </c>
      <c r="D185" s="47">
        <v>0</v>
      </c>
      <c r="E185" s="47">
        <v>0</v>
      </c>
    </row>
    <row r="186" spans="1:5">
      <c r="A186" s="20" t="s">
        <v>8</v>
      </c>
      <c r="B186" s="20" t="s">
        <v>122</v>
      </c>
      <c r="C186" s="47">
        <v>0</v>
      </c>
      <c r="D186" s="47">
        <v>0</v>
      </c>
      <c r="E186" s="47">
        <v>0</v>
      </c>
    </row>
    <row r="187" spans="1:5">
      <c r="A187" s="20" t="s">
        <v>9</v>
      </c>
      <c r="B187" s="20" t="s">
        <v>122</v>
      </c>
      <c r="C187" s="47">
        <v>0</v>
      </c>
      <c r="D187" s="47">
        <v>0</v>
      </c>
      <c r="E187" s="47">
        <v>0</v>
      </c>
    </row>
    <row r="188" spans="1:5">
      <c r="A188" s="20" t="s">
        <v>10</v>
      </c>
      <c r="B188" s="20" t="s">
        <v>122</v>
      </c>
      <c r="C188" s="47">
        <v>0</v>
      </c>
      <c r="D188" s="47">
        <v>0</v>
      </c>
      <c r="E188" s="47">
        <v>0</v>
      </c>
    </row>
    <row r="189" spans="1:5">
      <c r="A189" s="20" t="s">
        <v>11</v>
      </c>
      <c r="B189" s="20" t="s">
        <v>122</v>
      </c>
      <c r="C189" s="47">
        <v>0</v>
      </c>
      <c r="D189" s="47">
        <v>0</v>
      </c>
      <c r="E189" s="47">
        <v>0</v>
      </c>
    </row>
    <row r="190" spans="1:5">
      <c r="A190" s="20" t="s">
        <v>12</v>
      </c>
      <c r="B190" s="20" t="s">
        <v>122</v>
      </c>
      <c r="C190" s="47">
        <v>0</v>
      </c>
      <c r="D190" s="47">
        <v>0</v>
      </c>
      <c r="E190" s="47">
        <v>0</v>
      </c>
    </row>
    <row r="191" spans="1:5">
      <c r="A191" s="20" t="s">
        <v>13</v>
      </c>
      <c r="B191" s="20" t="s">
        <v>122</v>
      </c>
      <c r="C191" s="47">
        <v>0</v>
      </c>
      <c r="D191" s="47">
        <v>0</v>
      </c>
      <c r="E191" s="47">
        <v>0</v>
      </c>
    </row>
    <row r="192" spans="1:5">
      <c r="A192" s="20" t="s">
        <v>14</v>
      </c>
      <c r="B192" s="20" t="s">
        <v>122</v>
      </c>
      <c r="C192" s="47">
        <v>0</v>
      </c>
      <c r="D192" s="47">
        <v>0</v>
      </c>
      <c r="E192" s="47">
        <v>0</v>
      </c>
    </row>
    <row r="193" spans="1:5">
      <c r="A193" s="20" t="s">
        <v>15</v>
      </c>
      <c r="B193" s="20" t="s">
        <v>122</v>
      </c>
      <c r="C193" s="47">
        <v>0</v>
      </c>
      <c r="D193" s="47">
        <v>0</v>
      </c>
      <c r="E193" s="47">
        <v>0</v>
      </c>
    </row>
    <row r="194" spans="1:5">
      <c r="A194" s="20" t="s">
        <v>16</v>
      </c>
      <c r="B194" s="20" t="s">
        <v>122</v>
      </c>
      <c r="C194" s="47">
        <v>0</v>
      </c>
      <c r="D194" s="47">
        <v>0</v>
      </c>
      <c r="E194" s="47">
        <v>1</v>
      </c>
    </row>
    <row r="195" spans="1:5">
      <c r="A195" s="20" t="s">
        <v>17</v>
      </c>
      <c r="B195" s="20" t="s">
        <v>122</v>
      </c>
      <c r="C195" s="47">
        <v>1</v>
      </c>
      <c r="D195" s="47">
        <v>1</v>
      </c>
      <c r="E195" s="47">
        <v>0</v>
      </c>
    </row>
    <row r="196" spans="1:5">
      <c r="A196" s="20" t="s">
        <v>18</v>
      </c>
      <c r="B196" s="20" t="s">
        <v>122</v>
      </c>
      <c r="C196" s="47">
        <v>0</v>
      </c>
      <c r="D196" s="47">
        <v>0</v>
      </c>
      <c r="E196" s="47">
        <v>0</v>
      </c>
    </row>
    <row r="197" spans="1:5">
      <c r="A197" s="53" t="s">
        <v>19</v>
      </c>
      <c r="B197" s="20" t="s">
        <v>122</v>
      </c>
      <c r="C197" s="47">
        <v>0</v>
      </c>
      <c r="D197" s="47">
        <v>0</v>
      </c>
      <c r="E197" s="47">
        <v>0</v>
      </c>
    </row>
    <row r="198" spans="1:5">
      <c r="A198" s="53" t="s">
        <v>20</v>
      </c>
      <c r="B198" s="20" t="s">
        <v>122</v>
      </c>
      <c r="C198" s="47">
        <v>0</v>
      </c>
      <c r="D198" s="47">
        <v>0</v>
      </c>
      <c r="E198" s="47">
        <v>0</v>
      </c>
    </row>
    <row r="199" spans="1:5">
      <c r="A199" s="53" t="s">
        <v>84</v>
      </c>
      <c r="B199" s="20" t="s">
        <v>122</v>
      </c>
      <c r="C199" s="47">
        <v>0</v>
      </c>
      <c r="D199" s="47">
        <v>0</v>
      </c>
      <c r="E199" s="47">
        <v>0</v>
      </c>
    </row>
    <row r="200" spans="1:5">
      <c r="A200" s="53" t="s">
        <v>85</v>
      </c>
      <c r="B200" s="20" t="s">
        <v>122</v>
      </c>
      <c r="C200" s="47">
        <v>0</v>
      </c>
      <c r="D200" s="47">
        <v>0</v>
      </c>
      <c r="E200" s="47">
        <v>0</v>
      </c>
    </row>
    <row r="201" spans="1:5">
      <c r="A201" s="53" t="s">
        <v>146</v>
      </c>
      <c r="B201" s="20" t="s">
        <v>122</v>
      </c>
      <c r="C201" s="47">
        <v>0</v>
      </c>
      <c r="D201" s="47">
        <v>0</v>
      </c>
      <c r="E201" s="47">
        <v>0</v>
      </c>
    </row>
    <row r="202" spans="1:5">
      <c r="A202" s="53" t="s">
        <v>21</v>
      </c>
      <c r="B202" s="20" t="s">
        <v>122</v>
      </c>
      <c r="C202" s="47">
        <v>0</v>
      </c>
      <c r="D202" s="47">
        <v>0</v>
      </c>
      <c r="E202" s="47">
        <v>0</v>
      </c>
    </row>
  </sheetData>
  <autoFilter ref="B2:E202" xr:uid="{F741E6A7-355F-485B-BDF9-D9E1972B706D}"/>
  <sortState xmlns:xlrd2="http://schemas.microsoft.com/office/spreadsheetml/2017/richdata2" ref="A3:E202">
    <sortCondition ref="B3:B202" customList="J1,J2,J3,J4,J5,J6,J7,J8,J9,J10"/>
  </sortState>
  <mergeCells count="1">
    <mergeCell ref="B1:E1"/>
  </mergeCells>
  <conditionalFormatting sqref="C1:E142 C203:E1048576">
    <cfRule type="cellIs" dxfId="15" priority="4" operator="equal">
      <formula>1</formula>
    </cfRule>
  </conditionalFormatting>
  <conditionalFormatting sqref="C143:E162">
    <cfRule type="cellIs" dxfId="14" priority="3" operator="equal">
      <formula>1</formula>
    </cfRule>
  </conditionalFormatting>
  <conditionalFormatting sqref="C163:E182">
    <cfRule type="cellIs" dxfId="13" priority="2" operator="equal">
      <formula>1</formula>
    </cfRule>
  </conditionalFormatting>
  <conditionalFormatting sqref="C183:E202">
    <cfRule type="cellIs" dxfId="12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3F80-393E-4D08-9CDC-1C9CFC62E0BC}">
  <dimension ref="A1:U26"/>
  <sheetViews>
    <sheetView zoomScale="160" zoomScaleNormal="160" workbookViewId="0">
      <selection activeCell="C7" sqref="C7"/>
    </sheetView>
  </sheetViews>
  <sheetFormatPr baseColWidth="10" defaultColWidth="11.28515625" defaultRowHeight="15"/>
  <sheetData>
    <row r="1" spans="1:21">
      <c r="A1" s="78" t="s">
        <v>116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</row>
    <row r="2" spans="1:21">
      <c r="A2" s="10"/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10" t="s">
        <v>17</v>
      </c>
      <c r="O2" s="10" t="s">
        <v>18</v>
      </c>
      <c r="P2" s="1" t="s">
        <v>19</v>
      </c>
      <c r="Q2" s="1" t="s">
        <v>20</v>
      </c>
      <c r="R2" s="1" t="s">
        <v>84</v>
      </c>
      <c r="S2" s="1" t="s">
        <v>85</v>
      </c>
      <c r="T2" s="1" t="s">
        <v>146</v>
      </c>
      <c r="U2" s="1" t="s">
        <v>21</v>
      </c>
    </row>
    <row r="3" spans="1:21">
      <c r="A3" s="10" t="s">
        <v>104</v>
      </c>
      <c r="B3" s="46">
        <v>2.75</v>
      </c>
      <c r="C3" s="46">
        <v>2.64</v>
      </c>
      <c r="D3" s="46">
        <f>D4*1.1</f>
        <v>2.4200000000000004</v>
      </c>
      <c r="E3" s="46">
        <f>E4*1.1</f>
        <v>1.32</v>
      </c>
      <c r="F3" s="46">
        <f>F4*1.1</f>
        <v>4.5979999999999999</v>
      </c>
      <c r="G3" s="46">
        <f>G4*1.1</f>
        <v>0.72600000000000009</v>
      </c>
      <c r="H3" s="46">
        <v>3.3</v>
      </c>
      <c r="I3" s="46">
        <f>I4*1.1</f>
        <v>2.4200000000000004</v>
      </c>
      <c r="J3" s="46">
        <v>3.1</v>
      </c>
      <c r="K3" s="46">
        <v>2.7</v>
      </c>
      <c r="L3" s="46">
        <v>4.07</v>
      </c>
      <c r="M3" s="46">
        <v>6.93</v>
      </c>
      <c r="N3" s="46">
        <f>N4*1.1</f>
        <v>3.0250000000000004</v>
      </c>
      <c r="O3" s="46">
        <f>O4*1.1</f>
        <v>2.4200000000000004</v>
      </c>
      <c r="P3" s="46">
        <v>6.6</v>
      </c>
      <c r="Q3" s="46">
        <v>6.71</v>
      </c>
      <c r="R3" s="59">
        <v>0</v>
      </c>
      <c r="S3" s="59">
        <v>0</v>
      </c>
      <c r="T3" s="46">
        <f>T4*1.1</f>
        <v>0.9075000000000002</v>
      </c>
      <c r="U3" s="46">
        <v>0</v>
      </c>
    </row>
    <row r="4" spans="1:21">
      <c r="A4" s="10" t="s">
        <v>105</v>
      </c>
      <c r="B4" s="46">
        <v>2.5</v>
      </c>
      <c r="C4" s="46">
        <v>2.4</v>
      </c>
      <c r="D4" s="46">
        <f>D5*1.1</f>
        <v>2.2000000000000002</v>
      </c>
      <c r="E4" s="46">
        <v>1.2</v>
      </c>
      <c r="F4" s="46">
        <f>F5*1.1</f>
        <v>4.18</v>
      </c>
      <c r="G4" s="46">
        <f>G5*1.1</f>
        <v>0.66</v>
      </c>
      <c r="H4" s="46">
        <v>3</v>
      </c>
      <c r="I4" s="46">
        <v>2.2000000000000002</v>
      </c>
      <c r="J4" s="46">
        <v>2.8</v>
      </c>
      <c r="K4" s="46">
        <f>K5*1.1</f>
        <v>0</v>
      </c>
      <c r="L4" s="46">
        <v>3.7</v>
      </c>
      <c r="M4" s="46">
        <v>6.3</v>
      </c>
      <c r="N4" s="46">
        <f>N5*1.1</f>
        <v>2.75</v>
      </c>
      <c r="O4" s="46">
        <f>O5*1.1</f>
        <v>2.2000000000000002</v>
      </c>
      <c r="P4" s="46">
        <v>6</v>
      </c>
      <c r="Q4" s="46">
        <v>6.1</v>
      </c>
      <c r="R4" s="59">
        <v>0</v>
      </c>
      <c r="S4" s="59">
        <v>0</v>
      </c>
      <c r="T4" s="46">
        <f>T5*1.1</f>
        <v>0.82500000000000007</v>
      </c>
      <c r="U4" s="46">
        <v>0</v>
      </c>
    </row>
    <row r="5" spans="1:21" s="60" customFormat="1">
      <c r="A5" s="58" t="s">
        <v>106</v>
      </c>
      <c r="B5" s="59">
        <v>1.6</v>
      </c>
      <c r="C5" s="59">
        <v>1.6</v>
      </c>
      <c r="D5" s="59">
        <v>2</v>
      </c>
      <c r="E5" s="59">
        <f>E4*0.9</f>
        <v>1.08</v>
      </c>
      <c r="F5" s="59">
        <v>3.8</v>
      </c>
      <c r="G5" s="59">
        <v>0.6</v>
      </c>
      <c r="H5" s="59">
        <v>0</v>
      </c>
      <c r="I5" s="59">
        <v>0</v>
      </c>
      <c r="J5" s="59">
        <v>0</v>
      </c>
      <c r="K5" s="59">
        <v>0</v>
      </c>
      <c r="L5" s="59">
        <v>5</v>
      </c>
      <c r="M5" s="59">
        <v>6.5</v>
      </c>
      <c r="N5" s="59">
        <v>2.5</v>
      </c>
      <c r="O5" s="59">
        <v>2</v>
      </c>
      <c r="P5" s="59">
        <v>5.5</v>
      </c>
      <c r="Q5" s="59">
        <v>5.5</v>
      </c>
      <c r="R5" s="59">
        <v>0</v>
      </c>
      <c r="S5" s="59">
        <v>0</v>
      </c>
      <c r="T5" s="59">
        <v>0.75</v>
      </c>
      <c r="U5" s="59">
        <v>0</v>
      </c>
    </row>
    <row r="6" spans="1:21">
      <c r="A6" s="9"/>
    </row>
    <row r="7" spans="1:21">
      <c r="A7" s="9"/>
    </row>
    <row r="9" spans="1:21">
      <c r="A9" s="9"/>
      <c r="B9" s="9"/>
    </row>
    <row r="10" spans="1:21">
      <c r="A10" s="9"/>
      <c r="B10" s="9"/>
    </row>
    <row r="11" spans="1:21">
      <c r="A11" s="9"/>
      <c r="B11" s="9"/>
    </row>
    <row r="12" spans="1:21">
      <c r="M12" s="52"/>
    </row>
    <row r="23" spans="12:20">
      <c r="T23" s="52"/>
    </row>
    <row r="26" spans="12:20">
      <c r="L26" s="52"/>
    </row>
  </sheetData>
  <mergeCells count="1">
    <mergeCell ref="A1:U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2CB86-07B7-4038-846C-CD64C295B732}">
  <dimension ref="A1:U22"/>
  <sheetViews>
    <sheetView zoomScale="160" zoomScaleNormal="160" workbookViewId="0">
      <selection activeCell="M4" sqref="M4"/>
    </sheetView>
  </sheetViews>
  <sheetFormatPr baseColWidth="10" defaultRowHeight="15"/>
  <sheetData>
    <row r="1" spans="1:21">
      <c r="A1" s="35"/>
      <c r="B1" s="79" t="s">
        <v>22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</row>
    <row r="2" spans="1:21">
      <c r="A2" s="34"/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84</v>
      </c>
      <c r="S2" s="4" t="s">
        <v>85</v>
      </c>
      <c r="T2" s="4" t="s">
        <v>146</v>
      </c>
      <c r="U2" s="4" t="s">
        <v>21</v>
      </c>
    </row>
    <row r="3" spans="1:21">
      <c r="A3" s="3" t="s">
        <v>5</v>
      </c>
      <c r="B3" s="55">
        <v>-0.15</v>
      </c>
      <c r="C3" s="55">
        <v>-0.15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0.1</v>
      </c>
      <c r="N3" s="55">
        <v>0</v>
      </c>
      <c r="O3" s="55">
        <v>0</v>
      </c>
      <c r="P3" s="55">
        <v>0</v>
      </c>
      <c r="Q3" s="55">
        <v>0</v>
      </c>
      <c r="R3" s="55">
        <v>0</v>
      </c>
      <c r="S3" s="55">
        <v>0</v>
      </c>
      <c r="T3" s="55">
        <v>0.05</v>
      </c>
      <c r="U3" s="56">
        <v>0</v>
      </c>
    </row>
    <row r="4" spans="1:21">
      <c r="A4" s="3" t="s">
        <v>6</v>
      </c>
      <c r="B4" s="70">
        <v>-0.15</v>
      </c>
      <c r="C4" s="70">
        <v>-0.15</v>
      </c>
      <c r="D4" s="70">
        <v>0</v>
      </c>
      <c r="E4" s="70">
        <v>0</v>
      </c>
      <c r="F4" s="70">
        <v>0</v>
      </c>
      <c r="G4" s="70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0.1</v>
      </c>
      <c r="N4" s="70">
        <v>0</v>
      </c>
      <c r="O4" s="70">
        <v>0</v>
      </c>
      <c r="P4" s="70">
        <v>0</v>
      </c>
      <c r="Q4" s="70">
        <v>0</v>
      </c>
      <c r="R4" s="70">
        <v>0</v>
      </c>
      <c r="S4" s="70">
        <v>0</v>
      </c>
      <c r="T4" s="70">
        <v>0.05</v>
      </c>
      <c r="U4" s="71">
        <v>0</v>
      </c>
    </row>
    <row r="5" spans="1:21">
      <c r="A5" s="3" t="s">
        <v>7</v>
      </c>
      <c r="B5" s="55">
        <v>0</v>
      </c>
      <c r="C5" s="55">
        <v>0</v>
      </c>
      <c r="D5" s="55">
        <v>-0.1</v>
      </c>
      <c r="E5" s="55">
        <v>0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0.05</v>
      </c>
      <c r="N5" s="55">
        <v>0.05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0.05</v>
      </c>
      <c r="U5" s="56">
        <v>0</v>
      </c>
    </row>
    <row r="6" spans="1:21">
      <c r="A6" s="3" t="s">
        <v>8</v>
      </c>
      <c r="B6" s="55">
        <v>0</v>
      </c>
      <c r="C6" s="55">
        <v>0</v>
      </c>
      <c r="D6" s="55">
        <v>0</v>
      </c>
      <c r="E6" s="55">
        <v>-0.1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5">
        <v>0</v>
      </c>
      <c r="P6" s="55">
        <v>0</v>
      </c>
      <c r="Q6" s="55">
        <v>0</v>
      </c>
      <c r="R6" s="55">
        <v>0</v>
      </c>
      <c r="S6" s="55">
        <v>0</v>
      </c>
      <c r="T6" s="55">
        <v>0.05</v>
      </c>
      <c r="U6" s="56">
        <v>0</v>
      </c>
    </row>
    <row r="7" spans="1:21">
      <c r="A7" s="3" t="s">
        <v>9</v>
      </c>
      <c r="B7" s="55">
        <v>0</v>
      </c>
      <c r="C7" s="55">
        <v>0</v>
      </c>
      <c r="D7" s="55">
        <v>0</v>
      </c>
      <c r="E7" s="55">
        <v>0</v>
      </c>
      <c r="F7" s="55">
        <v>-0.15</v>
      </c>
      <c r="G7" s="55">
        <v>0</v>
      </c>
      <c r="H7" s="55">
        <v>0</v>
      </c>
      <c r="I7" s="55">
        <v>0</v>
      </c>
      <c r="J7" s="55">
        <v>0</v>
      </c>
      <c r="K7" s="55">
        <v>0</v>
      </c>
      <c r="L7" s="55">
        <v>0</v>
      </c>
      <c r="M7" s="55">
        <v>0.05</v>
      </c>
      <c r="N7" s="55">
        <v>0.05</v>
      </c>
      <c r="O7" s="55">
        <v>0</v>
      </c>
      <c r="P7" s="55">
        <v>0</v>
      </c>
      <c r="Q7" s="55">
        <v>0</v>
      </c>
      <c r="R7" s="55">
        <v>0</v>
      </c>
      <c r="S7" s="55">
        <v>0</v>
      </c>
      <c r="T7" s="55">
        <v>0.05</v>
      </c>
      <c r="U7" s="56">
        <v>0</v>
      </c>
    </row>
    <row r="8" spans="1:21">
      <c r="A8" s="3" t="s">
        <v>10</v>
      </c>
      <c r="B8" s="55">
        <v>0</v>
      </c>
      <c r="C8" s="55">
        <v>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0</v>
      </c>
      <c r="L8" s="55">
        <v>0</v>
      </c>
      <c r="M8" s="55">
        <v>0.05</v>
      </c>
      <c r="N8" s="55">
        <v>0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0.05</v>
      </c>
      <c r="U8" s="56">
        <v>0</v>
      </c>
    </row>
    <row r="9" spans="1:21">
      <c r="A9" s="3" t="s">
        <v>11</v>
      </c>
      <c r="B9" s="55">
        <v>0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-0.1</v>
      </c>
      <c r="I9" s="55">
        <v>0</v>
      </c>
      <c r="J9" s="55">
        <v>0</v>
      </c>
      <c r="K9" s="55">
        <v>0</v>
      </c>
      <c r="L9" s="55">
        <v>0</v>
      </c>
      <c r="M9" s="55">
        <v>0.05</v>
      </c>
      <c r="N9" s="55">
        <v>0.05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0.05</v>
      </c>
      <c r="U9" s="56">
        <v>0</v>
      </c>
    </row>
    <row r="10" spans="1:21">
      <c r="A10" s="3" t="s">
        <v>12</v>
      </c>
      <c r="B10" s="55">
        <v>0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-0.1</v>
      </c>
      <c r="J10" s="55">
        <v>0</v>
      </c>
      <c r="K10" s="55">
        <v>0</v>
      </c>
      <c r="L10" s="55">
        <v>0</v>
      </c>
      <c r="M10" s="55">
        <v>0.05</v>
      </c>
      <c r="N10" s="55">
        <v>0.05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0.05</v>
      </c>
      <c r="U10" s="56">
        <v>0</v>
      </c>
    </row>
    <row r="11" spans="1:21">
      <c r="A11" s="3" t="s">
        <v>13</v>
      </c>
      <c r="B11" s="55">
        <v>0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-0.1</v>
      </c>
      <c r="K11" s="55">
        <v>0</v>
      </c>
      <c r="L11" s="55">
        <v>0</v>
      </c>
      <c r="M11" s="55">
        <v>0.05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0.05</v>
      </c>
      <c r="U11" s="56">
        <v>0</v>
      </c>
    </row>
    <row r="12" spans="1:21">
      <c r="A12" s="3" t="s">
        <v>14</v>
      </c>
      <c r="B12" s="55">
        <v>0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0.1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6">
        <v>0</v>
      </c>
    </row>
    <row r="13" spans="1:21">
      <c r="A13" s="3" t="s">
        <v>15</v>
      </c>
      <c r="B13" s="55">
        <v>0</v>
      </c>
      <c r="C13" s="55">
        <v>0</v>
      </c>
      <c r="D13" s="55">
        <v>-0.05</v>
      </c>
      <c r="E13" s="55">
        <v>-0.05</v>
      </c>
      <c r="F13" s="55">
        <v>-0.05</v>
      </c>
      <c r="G13" s="55">
        <v>0</v>
      </c>
      <c r="H13" s="55">
        <v>-0.05</v>
      </c>
      <c r="I13" s="55">
        <v>-0.05</v>
      </c>
      <c r="J13" s="55">
        <v>0</v>
      </c>
      <c r="K13" s="55">
        <v>0</v>
      </c>
      <c r="L13" s="55">
        <v>0</v>
      </c>
      <c r="M13" s="55">
        <v>-0.05</v>
      </c>
      <c r="N13" s="55">
        <v>0.05</v>
      </c>
      <c r="O13" s="55">
        <v>0</v>
      </c>
      <c r="P13" s="55">
        <v>-0.05</v>
      </c>
      <c r="Q13" s="55">
        <v>-0.05</v>
      </c>
      <c r="R13" s="55">
        <v>0</v>
      </c>
      <c r="S13" s="55">
        <v>0</v>
      </c>
      <c r="T13" s="55">
        <v>0.1</v>
      </c>
      <c r="U13" s="56">
        <v>0</v>
      </c>
    </row>
    <row r="14" spans="1:21">
      <c r="A14" s="3" t="s">
        <v>16</v>
      </c>
      <c r="B14" s="55">
        <v>0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0.05</v>
      </c>
      <c r="O14" s="55">
        <v>0</v>
      </c>
      <c r="P14" s="55">
        <v>-0.05</v>
      </c>
      <c r="Q14" s="55">
        <v>-0.05</v>
      </c>
      <c r="R14" s="55">
        <v>0</v>
      </c>
      <c r="S14" s="55">
        <v>0</v>
      </c>
      <c r="T14" s="55">
        <v>0</v>
      </c>
      <c r="U14" s="56">
        <v>0</v>
      </c>
    </row>
    <row r="15" spans="1:21">
      <c r="A15" s="3" t="s">
        <v>17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0.1</v>
      </c>
      <c r="N15" s="55">
        <v>-0.05</v>
      </c>
      <c r="O15" s="55">
        <v>-0.05</v>
      </c>
      <c r="P15" s="55">
        <v>0.15</v>
      </c>
      <c r="Q15" s="55">
        <v>0.15</v>
      </c>
      <c r="R15" s="55">
        <v>0.1</v>
      </c>
      <c r="S15" s="55">
        <v>0.1</v>
      </c>
      <c r="T15" s="55">
        <v>0.2</v>
      </c>
      <c r="U15" s="56">
        <v>0</v>
      </c>
    </row>
    <row r="16" spans="1:21">
      <c r="A16" s="3" t="s">
        <v>18</v>
      </c>
      <c r="B16" s="55">
        <v>0.05</v>
      </c>
      <c r="C16" s="55">
        <v>0.05</v>
      </c>
      <c r="D16" s="55">
        <v>0.05</v>
      </c>
      <c r="E16" s="55">
        <v>0.05</v>
      </c>
      <c r="F16" s="55">
        <v>0.05</v>
      </c>
      <c r="G16" s="55">
        <v>0.05</v>
      </c>
      <c r="H16" s="55">
        <v>0.05</v>
      </c>
      <c r="I16" s="55">
        <v>0.05</v>
      </c>
      <c r="J16" s="55">
        <v>0.05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  <c r="S16" s="55">
        <v>0</v>
      </c>
      <c r="T16" s="55">
        <v>0.2</v>
      </c>
      <c r="U16" s="56">
        <v>0</v>
      </c>
    </row>
    <row r="17" spans="1:21">
      <c r="A17" s="3" t="s">
        <v>19</v>
      </c>
      <c r="B17" s="55">
        <v>0.05</v>
      </c>
      <c r="C17" s="55">
        <v>0.05</v>
      </c>
      <c r="D17" s="55">
        <v>-0.05</v>
      </c>
      <c r="E17" s="55">
        <v>-0.05</v>
      </c>
      <c r="F17" s="55">
        <v>-0.05</v>
      </c>
      <c r="G17" s="55">
        <v>0.05</v>
      </c>
      <c r="H17" s="55">
        <v>-0.05</v>
      </c>
      <c r="I17" s="55">
        <v>-0.05</v>
      </c>
      <c r="J17" s="55">
        <v>0.15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0.2</v>
      </c>
      <c r="U17" s="56">
        <v>0</v>
      </c>
    </row>
    <row r="18" spans="1:21">
      <c r="A18" s="3" t="s">
        <v>20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0.05</v>
      </c>
      <c r="O18" s="55">
        <v>0.05</v>
      </c>
      <c r="P18" s="55">
        <v>0</v>
      </c>
      <c r="Q18" s="55">
        <v>0</v>
      </c>
      <c r="R18" s="55">
        <v>0.05</v>
      </c>
      <c r="S18" s="55">
        <v>0.05</v>
      </c>
      <c r="T18" s="55">
        <v>0.2</v>
      </c>
      <c r="U18" s="56">
        <v>0</v>
      </c>
    </row>
    <row r="19" spans="1:21">
      <c r="A19" s="3" t="s">
        <v>84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6">
        <v>0</v>
      </c>
    </row>
    <row r="20" spans="1:21">
      <c r="A20" s="3" t="s">
        <v>85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6">
        <v>0</v>
      </c>
    </row>
    <row r="21" spans="1:21">
      <c r="A21" s="3" t="s">
        <v>146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6">
        <v>0</v>
      </c>
    </row>
    <row r="22" spans="1:21">
      <c r="A22" s="19" t="s">
        <v>21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6">
        <v>0</v>
      </c>
    </row>
  </sheetData>
  <mergeCells count="1">
    <mergeCell ref="B1:U1"/>
  </mergeCells>
  <phoneticPr fontId="8" type="noConversion"/>
  <conditionalFormatting sqref="A1:B1">
    <cfRule type="cellIs" dxfId="11" priority="25" operator="equal">
      <formula>"I"</formula>
    </cfRule>
    <cfRule type="cellIs" dxfId="10" priority="26" operator="equal">
      <formula>"D"</formula>
    </cfRule>
    <cfRule type="cellIs" dxfId="9" priority="27" operator="equal">
      <formula>"A"</formula>
    </cfRule>
    <cfRule type="cellIs" dxfId="8" priority="28" operator="equal">
      <formula>"O"</formula>
    </cfRule>
  </conditionalFormatting>
  <conditionalFormatting sqref="A2:U2 A3:A22">
    <cfRule type="cellIs" dxfId="7" priority="5" operator="equal">
      <formula>"I"</formula>
    </cfRule>
    <cfRule type="cellIs" dxfId="6" priority="6" operator="equal">
      <formula>"D"</formula>
    </cfRule>
    <cfRule type="cellIs" dxfId="5" priority="7" operator="equal">
      <formula>"A"</formula>
    </cfRule>
    <cfRule type="cellIs" dxfId="4" priority="8" operator="equal">
      <formula>"O"</formula>
    </cfRule>
  </conditionalFormatting>
  <conditionalFormatting sqref="B3:T22">
    <cfRule type="cellIs" dxfId="3" priority="1" operator="equal">
      <formula>"I"</formula>
    </cfRule>
    <cfRule type="cellIs" dxfId="2" priority="2" operator="equal">
      <formula>"D"</formula>
    </cfRule>
    <cfRule type="cellIs" dxfId="1" priority="3" operator="equal">
      <formula>"A"</formula>
    </cfRule>
    <cfRule type="cellIs" dxfId="0" priority="4" operator="equal">
      <formula>"O"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A9DC-C1CA-48C6-8BB0-589824A37251}">
  <dimension ref="A1:M365"/>
  <sheetViews>
    <sheetView topLeftCell="D1" zoomScale="130" zoomScaleNormal="130" workbookViewId="0">
      <selection activeCell="J21" sqref="J21"/>
    </sheetView>
  </sheetViews>
  <sheetFormatPr baseColWidth="10" defaultRowHeight="15"/>
  <cols>
    <col min="4" max="4" width="14.28515625" bestFit="1" customWidth="1"/>
    <col min="5" max="5" width="18.85546875" bestFit="1" customWidth="1"/>
    <col min="6" max="6" width="31" bestFit="1" customWidth="1"/>
    <col min="8" max="8" width="14.28515625" bestFit="1" customWidth="1"/>
    <col min="9" max="9" width="18.85546875" bestFit="1" customWidth="1"/>
    <col min="10" max="12" width="18.85546875" customWidth="1"/>
    <col min="13" max="13" width="31" bestFit="1" customWidth="1"/>
  </cols>
  <sheetData>
    <row r="1" spans="1:13" ht="15.75" thickBot="1">
      <c r="A1" s="21">
        <v>46174</v>
      </c>
      <c r="B1">
        <v>1</v>
      </c>
      <c r="D1" s="22" t="s">
        <v>55</v>
      </c>
      <c r="E1" s="23" t="s">
        <v>56</v>
      </c>
      <c r="F1" s="23" t="s">
        <v>57</v>
      </c>
      <c r="H1" s="83" t="s">
        <v>55</v>
      </c>
      <c r="I1" s="85" t="s">
        <v>56</v>
      </c>
      <c r="J1" s="86"/>
      <c r="K1" s="86"/>
      <c r="L1" s="87"/>
      <c r="M1" s="81" t="s">
        <v>57</v>
      </c>
    </row>
    <row r="2" spans="1:13">
      <c r="A2" s="21">
        <v>46175</v>
      </c>
      <c r="B2">
        <v>2</v>
      </c>
      <c r="D2" s="24" t="s">
        <v>5</v>
      </c>
      <c r="E2" s="24" t="s">
        <v>58</v>
      </c>
      <c r="F2" s="24">
        <v>7</v>
      </c>
      <c r="H2" s="84"/>
      <c r="I2" s="27" t="s">
        <v>73</v>
      </c>
      <c r="J2" s="27" t="s">
        <v>74</v>
      </c>
      <c r="K2" s="27" t="s">
        <v>75</v>
      </c>
      <c r="L2" s="27" t="s">
        <v>76</v>
      </c>
      <c r="M2" s="82"/>
    </row>
    <row r="3" spans="1:13">
      <c r="A3" s="21">
        <v>46176</v>
      </c>
      <c r="B3">
        <v>3</v>
      </c>
      <c r="D3" s="24" t="s">
        <v>6</v>
      </c>
      <c r="E3" s="24" t="s">
        <v>58</v>
      </c>
      <c r="F3" s="24">
        <v>7</v>
      </c>
      <c r="H3" s="1" t="s">
        <v>5</v>
      </c>
      <c r="I3" s="33">
        <v>46113</v>
      </c>
      <c r="J3" s="1">
        <f>I3 - DATE(YEAR(I3)-(MONTH($A$1)&lt;6),6,1) + 1</f>
        <v>-60</v>
      </c>
      <c r="K3" s="33">
        <v>46173</v>
      </c>
      <c r="L3" s="1">
        <f>K3 - DATE(YEAR(K3)-(MONTH($A$1)&lt;6),6,1) + 1</f>
        <v>0</v>
      </c>
      <c r="M3" s="29">
        <f>+F2*(365/12)</f>
        <v>212.91666666666669</v>
      </c>
    </row>
    <row r="4" spans="1:13">
      <c r="A4" s="21">
        <v>46177</v>
      </c>
      <c r="B4">
        <v>4</v>
      </c>
      <c r="D4" s="24" t="s">
        <v>7</v>
      </c>
      <c r="E4" s="24" t="s">
        <v>59</v>
      </c>
      <c r="F4" s="24">
        <v>6</v>
      </c>
      <c r="H4" s="1" t="s">
        <v>6</v>
      </c>
      <c r="I4" s="33">
        <v>46113</v>
      </c>
      <c r="J4" s="1">
        <f t="shared" ref="J4:J21" si="0">I4 - DATE(YEAR(I4)-(MONTH($A$1)&lt;6),6,1) + 1</f>
        <v>-60</v>
      </c>
      <c r="K4" s="33">
        <v>46173</v>
      </c>
      <c r="L4" s="1">
        <f>K4 - DATE(YEAR(K4)-(MONTH($A$1)&lt;6),6,1) + 1</f>
        <v>0</v>
      </c>
      <c r="M4" s="29">
        <f t="shared" ref="M4:M21" si="1">+F3*(365/12)</f>
        <v>212.91666666666669</v>
      </c>
    </row>
    <row r="5" spans="1:13">
      <c r="A5" s="21">
        <v>46178</v>
      </c>
      <c r="B5">
        <v>5</v>
      </c>
      <c r="D5" s="24" t="s">
        <v>8</v>
      </c>
      <c r="E5" s="24" t="s">
        <v>60</v>
      </c>
      <c r="F5" s="24">
        <v>6</v>
      </c>
      <c r="H5" s="1" t="s">
        <v>7</v>
      </c>
      <c r="I5" s="33">
        <v>46143</v>
      </c>
      <c r="J5" s="1">
        <f t="shared" si="0"/>
        <v>-30</v>
      </c>
      <c r="K5" s="33">
        <v>46203</v>
      </c>
      <c r="L5" s="1">
        <f t="shared" ref="L5:L21" si="2">K5 - DATE(YEAR(K5)-(MONTH($A$1)&lt;6),6,1) + 1</f>
        <v>30</v>
      </c>
      <c r="M5" s="29">
        <f t="shared" si="1"/>
        <v>182.5</v>
      </c>
    </row>
    <row r="6" spans="1:13">
      <c r="A6" s="21">
        <v>46179</v>
      </c>
      <c r="B6">
        <v>6</v>
      </c>
      <c r="D6" s="24" t="s">
        <v>9</v>
      </c>
      <c r="E6" s="24" t="s">
        <v>61</v>
      </c>
      <c r="F6" s="24">
        <v>6</v>
      </c>
      <c r="H6" s="1" t="s">
        <v>8</v>
      </c>
      <c r="I6" s="33">
        <v>46113</v>
      </c>
      <c r="J6" s="1">
        <f t="shared" si="0"/>
        <v>-60</v>
      </c>
      <c r="K6" s="33">
        <v>46203</v>
      </c>
      <c r="L6" s="1">
        <f t="shared" si="2"/>
        <v>30</v>
      </c>
      <c r="M6" s="29">
        <f t="shared" si="1"/>
        <v>182.5</v>
      </c>
    </row>
    <row r="7" spans="1:13">
      <c r="A7" s="21">
        <v>46180</v>
      </c>
      <c r="B7">
        <v>7</v>
      </c>
      <c r="D7" s="24" t="s">
        <v>10</v>
      </c>
      <c r="E7" s="24" t="s">
        <v>62</v>
      </c>
      <c r="F7" s="24">
        <v>4</v>
      </c>
      <c r="H7" s="1" t="s">
        <v>9</v>
      </c>
      <c r="I7" s="33">
        <v>46143</v>
      </c>
      <c r="J7" s="1">
        <f t="shared" si="0"/>
        <v>-30</v>
      </c>
      <c r="K7" s="33">
        <v>46218</v>
      </c>
      <c r="L7" s="1">
        <f t="shared" si="2"/>
        <v>45</v>
      </c>
      <c r="M7" s="29">
        <f t="shared" si="1"/>
        <v>182.5</v>
      </c>
    </row>
    <row r="8" spans="1:13">
      <c r="A8" s="21">
        <v>46181</v>
      </c>
      <c r="B8">
        <v>8</v>
      </c>
      <c r="D8" s="24" t="s">
        <v>11</v>
      </c>
      <c r="E8" s="24" t="s">
        <v>63</v>
      </c>
      <c r="F8" s="24">
        <v>5</v>
      </c>
      <c r="H8" s="1" t="s">
        <v>10</v>
      </c>
      <c r="I8" s="33">
        <v>46143</v>
      </c>
      <c r="J8" s="1">
        <f t="shared" si="0"/>
        <v>-30</v>
      </c>
      <c r="K8" s="33">
        <v>46203</v>
      </c>
      <c r="L8" s="1">
        <f t="shared" si="2"/>
        <v>30</v>
      </c>
      <c r="M8" s="29">
        <f t="shared" si="1"/>
        <v>121.66666666666667</v>
      </c>
    </row>
    <row r="9" spans="1:13">
      <c r="A9" s="21">
        <v>46182</v>
      </c>
      <c r="B9">
        <v>9</v>
      </c>
      <c r="D9" s="24" t="s">
        <v>12</v>
      </c>
      <c r="E9" s="24" t="s">
        <v>64</v>
      </c>
      <c r="F9" s="24">
        <v>5</v>
      </c>
      <c r="H9" s="1" t="s">
        <v>11</v>
      </c>
      <c r="I9" s="33">
        <v>46174</v>
      </c>
      <c r="J9" s="1">
        <f t="shared" si="0"/>
        <v>1</v>
      </c>
      <c r="K9" s="33">
        <v>46234</v>
      </c>
      <c r="L9" s="1">
        <f t="shared" si="2"/>
        <v>61</v>
      </c>
      <c r="M9" s="29">
        <f t="shared" si="1"/>
        <v>152.08333333333334</v>
      </c>
    </row>
    <row r="10" spans="1:13">
      <c r="A10" s="21">
        <v>46183</v>
      </c>
      <c r="B10">
        <v>10</v>
      </c>
      <c r="D10" s="24" t="s">
        <v>13</v>
      </c>
      <c r="E10" s="24" t="s">
        <v>65</v>
      </c>
      <c r="F10" s="24">
        <v>5</v>
      </c>
      <c r="H10" s="1" t="s">
        <v>12</v>
      </c>
      <c r="I10" s="33">
        <v>46174</v>
      </c>
      <c r="J10" s="1">
        <f t="shared" si="0"/>
        <v>1</v>
      </c>
      <c r="K10" s="33">
        <v>46234</v>
      </c>
      <c r="L10" s="1">
        <f t="shared" si="2"/>
        <v>61</v>
      </c>
      <c r="M10" s="29">
        <f t="shared" si="1"/>
        <v>152.08333333333334</v>
      </c>
    </row>
    <row r="11" spans="1:13">
      <c r="A11" s="21">
        <v>46184</v>
      </c>
      <c r="B11">
        <v>11</v>
      </c>
      <c r="D11" s="24" t="s">
        <v>14</v>
      </c>
      <c r="E11" s="24" t="s">
        <v>66</v>
      </c>
      <c r="F11" s="24">
        <v>6</v>
      </c>
      <c r="H11" s="1" t="s">
        <v>13</v>
      </c>
      <c r="I11" s="33">
        <v>46174</v>
      </c>
      <c r="J11" s="1">
        <f t="shared" si="0"/>
        <v>1</v>
      </c>
      <c r="K11" s="33">
        <v>46265</v>
      </c>
      <c r="L11" s="1">
        <f t="shared" si="2"/>
        <v>92</v>
      </c>
      <c r="M11" s="29">
        <f t="shared" si="1"/>
        <v>152.08333333333334</v>
      </c>
    </row>
    <row r="12" spans="1:13">
      <c r="A12" s="21">
        <v>46185</v>
      </c>
      <c r="B12">
        <v>12</v>
      </c>
      <c r="D12" s="24" t="s">
        <v>15</v>
      </c>
      <c r="E12" s="24" t="s">
        <v>67</v>
      </c>
      <c r="F12" s="24">
        <v>6</v>
      </c>
      <c r="H12" s="1" t="s">
        <v>14</v>
      </c>
      <c r="I12" s="33">
        <v>46244</v>
      </c>
      <c r="J12" s="1">
        <f t="shared" si="0"/>
        <v>71</v>
      </c>
      <c r="K12" s="33">
        <v>46295</v>
      </c>
      <c r="L12" s="1">
        <f t="shared" si="2"/>
        <v>122</v>
      </c>
      <c r="M12" s="29">
        <f t="shared" si="1"/>
        <v>182.5</v>
      </c>
    </row>
    <row r="13" spans="1:13">
      <c r="A13" s="21">
        <v>46186</v>
      </c>
      <c r="B13">
        <v>13</v>
      </c>
      <c r="D13" s="24" t="s">
        <v>16</v>
      </c>
      <c r="E13" s="24" t="s">
        <v>67</v>
      </c>
      <c r="F13" s="24">
        <v>6</v>
      </c>
      <c r="H13" s="1" t="s">
        <v>15</v>
      </c>
      <c r="I13" s="33">
        <v>46280</v>
      </c>
      <c r="J13" s="1">
        <f t="shared" si="0"/>
        <v>107</v>
      </c>
      <c r="K13" s="33">
        <v>46341</v>
      </c>
      <c r="L13" s="1">
        <f t="shared" si="2"/>
        <v>168</v>
      </c>
      <c r="M13" s="29">
        <f t="shared" si="1"/>
        <v>182.5</v>
      </c>
    </row>
    <row r="14" spans="1:13">
      <c r="A14" s="21">
        <v>46187</v>
      </c>
      <c r="B14">
        <v>14</v>
      </c>
      <c r="D14" s="25" t="s">
        <v>17</v>
      </c>
      <c r="E14" s="24" t="s">
        <v>68</v>
      </c>
      <c r="F14" s="24">
        <v>5</v>
      </c>
      <c r="H14" s="1" t="s">
        <v>16</v>
      </c>
      <c r="I14" s="33">
        <v>46249</v>
      </c>
      <c r="J14" s="1">
        <f t="shared" si="0"/>
        <v>76</v>
      </c>
      <c r="K14" s="33">
        <v>46280</v>
      </c>
      <c r="L14" s="1">
        <f t="shared" si="2"/>
        <v>107</v>
      </c>
      <c r="M14" s="29">
        <f t="shared" si="1"/>
        <v>182.5</v>
      </c>
    </row>
    <row r="15" spans="1:13">
      <c r="A15" s="21">
        <v>46188</v>
      </c>
      <c r="B15">
        <v>15</v>
      </c>
      <c r="D15" s="24" t="s">
        <v>18</v>
      </c>
      <c r="E15" s="24" t="s">
        <v>69</v>
      </c>
      <c r="F15" s="24">
        <v>5</v>
      </c>
      <c r="H15" s="28" t="s">
        <v>17</v>
      </c>
      <c r="I15" s="33">
        <v>46305</v>
      </c>
      <c r="J15" s="1">
        <f t="shared" si="0"/>
        <v>132</v>
      </c>
      <c r="K15" s="33">
        <v>46356</v>
      </c>
      <c r="L15" s="1">
        <f t="shared" si="2"/>
        <v>183</v>
      </c>
      <c r="M15" s="29">
        <f t="shared" si="1"/>
        <v>152.08333333333334</v>
      </c>
    </row>
    <row r="16" spans="1:13">
      <c r="A16" s="21">
        <v>46189</v>
      </c>
      <c r="B16">
        <v>16</v>
      </c>
      <c r="D16" s="24" t="s">
        <v>19</v>
      </c>
      <c r="E16" s="24" t="s">
        <v>69</v>
      </c>
      <c r="F16" s="24">
        <v>6</v>
      </c>
      <c r="H16" s="41" t="s">
        <v>18</v>
      </c>
      <c r="I16" s="50">
        <v>46346</v>
      </c>
      <c r="J16" s="41">
        <f t="shared" si="0"/>
        <v>173</v>
      </c>
      <c r="K16" s="50">
        <v>46402</v>
      </c>
      <c r="L16" s="41">
        <f>K16 - DATE(YEAR(K16)-1-(MONTH($A$1)&lt;6),6,1) + 1</f>
        <v>229</v>
      </c>
      <c r="M16" s="29">
        <f t="shared" si="1"/>
        <v>152.08333333333334</v>
      </c>
    </row>
    <row r="17" spans="1:13">
      <c r="A17" s="21">
        <v>46190</v>
      </c>
      <c r="B17">
        <v>17</v>
      </c>
      <c r="D17" s="24" t="s">
        <v>20</v>
      </c>
      <c r="E17" s="24" t="s">
        <v>70</v>
      </c>
      <c r="F17" s="24">
        <v>6</v>
      </c>
      <c r="H17" s="41" t="s">
        <v>19</v>
      </c>
      <c r="I17" s="50">
        <v>46346</v>
      </c>
      <c r="J17" s="41">
        <f t="shared" si="0"/>
        <v>173</v>
      </c>
      <c r="K17" s="50">
        <v>46402</v>
      </c>
      <c r="L17" s="41">
        <f t="shared" ref="L17:L18" si="3">K17 - DATE(YEAR(K17)-1-(MONTH($A$1)&lt;6),6,1) + 1</f>
        <v>229</v>
      </c>
      <c r="M17" s="29">
        <f t="shared" si="1"/>
        <v>182.5</v>
      </c>
    </row>
    <row r="18" spans="1:13">
      <c r="A18" s="21">
        <v>46191</v>
      </c>
      <c r="B18">
        <v>18</v>
      </c>
      <c r="D18" s="24" t="s">
        <v>7</v>
      </c>
      <c r="E18" s="24" t="s">
        <v>71</v>
      </c>
      <c r="F18" s="24">
        <v>7</v>
      </c>
      <c r="H18" s="41" t="s">
        <v>20</v>
      </c>
      <c r="I18" s="50">
        <v>46346</v>
      </c>
      <c r="J18" s="41">
        <f t="shared" si="0"/>
        <v>173</v>
      </c>
      <c r="K18" s="50">
        <v>46402</v>
      </c>
      <c r="L18" s="41">
        <f t="shared" si="3"/>
        <v>229</v>
      </c>
      <c r="M18" s="29">
        <f t="shared" si="1"/>
        <v>182.5</v>
      </c>
    </row>
    <row r="19" spans="1:13">
      <c r="A19" s="21">
        <v>46192</v>
      </c>
      <c r="B19">
        <v>19</v>
      </c>
      <c r="D19" s="24" t="s">
        <v>8</v>
      </c>
      <c r="E19" s="24" t="s">
        <v>72</v>
      </c>
      <c r="F19" s="24">
        <v>7</v>
      </c>
      <c r="H19" s="1" t="s">
        <v>84</v>
      </c>
      <c r="I19" s="33">
        <v>46113</v>
      </c>
      <c r="J19" s="1">
        <f t="shared" si="0"/>
        <v>-60</v>
      </c>
      <c r="K19" s="33">
        <v>46234</v>
      </c>
      <c r="L19" s="1">
        <f t="shared" si="2"/>
        <v>61</v>
      </c>
      <c r="M19" s="29">
        <f t="shared" si="1"/>
        <v>212.91666666666669</v>
      </c>
    </row>
    <row r="20" spans="1:13">
      <c r="A20" s="21">
        <v>46193</v>
      </c>
      <c r="B20">
        <v>20</v>
      </c>
      <c r="D20" s="26" t="s">
        <v>146</v>
      </c>
      <c r="E20" s="26" t="s">
        <v>72</v>
      </c>
      <c r="F20" s="26">
        <v>7</v>
      </c>
      <c r="H20" s="1" t="s">
        <v>85</v>
      </c>
      <c r="I20" s="33">
        <v>46113</v>
      </c>
      <c r="J20" s="1">
        <f t="shared" si="0"/>
        <v>-60</v>
      </c>
      <c r="K20" s="33">
        <v>46234</v>
      </c>
      <c r="L20" s="1">
        <f t="shared" si="2"/>
        <v>61</v>
      </c>
      <c r="M20" s="29">
        <f t="shared" si="1"/>
        <v>212.91666666666669</v>
      </c>
    </row>
    <row r="21" spans="1:13">
      <c r="A21" s="21">
        <v>46194</v>
      </c>
      <c r="B21">
        <v>21</v>
      </c>
      <c r="H21" s="1" t="s">
        <v>146</v>
      </c>
      <c r="I21" s="33">
        <v>46096</v>
      </c>
      <c r="J21" s="1">
        <f t="shared" si="0"/>
        <v>-77</v>
      </c>
      <c r="K21" s="33">
        <v>46157</v>
      </c>
      <c r="L21" s="1">
        <f t="shared" si="2"/>
        <v>-16</v>
      </c>
      <c r="M21" s="29">
        <f t="shared" si="1"/>
        <v>212.91666666666669</v>
      </c>
    </row>
    <row r="22" spans="1:13">
      <c r="A22" s="21">
        <v>46195</v>
      </c>
      <c r="B22">
        <v>22</v>
      </c>
      <c r="D22" s="6"/>
    </row>
    <row r="23" spans="1:13">
      <c r="A23" s="21">
        <v>46196</v>
      </c>
      <c r="B23">
        <v>23</v>
      </c>
    </row>
    <row r="24" spans="1:13">
      <c r="A24" s="21">
        <v>46197</v>
      </c>
      <c r="B24">
        <v>24</v>
      </c>
    </row>
    <row r="25" spans="1:13">
      <c r="A25" s="21">
        <v>46198</v>
      </c>
      <c r="B25">
        <v>25</v>
      </c>
    </row>
    <row r="26" spans="1:13">
      <c r="A26" s="21">
        <v>46199</v>
      </c>
      <c r="B26">
        <v>26</v>
      </c>
    </row>
    <row r="27" spans="1:13">
      <c r="A27" s="21">
        <v>46200</v>
      </c>
      <c r="B27">
        <v>27</v>
      </c>
    </row>
    <row r="28" spans="1:13">
      <c r="A28" s="21">
        <v>46201</v>
      </c>
      <c r="B28">
        <v>28</v>
      </c>
    </row>
    <row r="29" spans="1:13">
      <c r="A29" s="21">
        <v>46202</v>
      </c>
      <c r="B29">
        <v>29</v>
      </c>
    </row>
    <row r="30" spans="1:13">
      <c r="A30" s="21">
        <v>46203</v>
      </c>
      <c r="B30">
        <v>30</v>
      </c>
    </row>
    <row r="31" spans="1:13">
      <c r="A31" s="21">
        <v>46204</v>
      </c>
      <c r="B31">
        <v>31</v>
      </c>
    </row>
    <row r="32" spans="1:13">
      <c r="A32" s="21">
        <v>46205</v>
      </c>
      <c r="B32">
        <v>32</v>
      </c>
    </row>
    <row r="33" spans="1:2">
      <c r="A33" s="21">
        <v>46206</v>
      </c>
      <c r="B33">
        <v>33</v>
      </c>
    </row>
    <row r="34" spans="1:2">
      <c r="A34" s="21">
        <v>46207</v>
      </c>
      <c r="B34">
        <v>34</v>
      </c>
    </row>
    <row r="35" spans="1:2">
      <c r="A35" s="21">
        <v>46208</v>
      </c>
      <c r="B35">
        <v>35</v>
      </c>
    </row>
    <row r="36" spans="1:2">
      <c r="A36" s="21">
        <v>46209</v>
      </c>
      <c r="B36">
        <v>36</v>
      </c>
    </row>
    <row r="37" spans="1:2">
      <c r="A37" s="21">
        <v>46210</v>
      </c>
      <c r="B37">
        <v>37</v>
      </c>
    </row>
    <row r="38" spans="1:2">
      <c r="A38" s="21">
        <v>46211</v>
      </c>
      <c r="B38">
        <v>38</v>
      </c>
    </row>
    <row r="39" spans="1:2">
      <c r="A39" s="21">
        <v>46212</v>
      </c>
      <c r="B39">
        <v>39</v>
      </c>
    </row>
    <row r="40" spans="1:2">
      <c r="A40" s="21">
        <v>46213</v>
      </c>
      <c r="B40">
        <v>40</v>
      </c>
    </row>
    <row r="41" spans="1:2">
      <c r="A41" s="21">
        <v>46214</v>
      </c>
      <c r="B41">
        <v>41</v>
      </c>
    </row>
    <row r="42" spans="1:2">
      <c r="A42" s="21">
        <v>46215</v>
      </c>
      <c r="B42">
        <v>42</v>
      </c>
    </row>
    <row r="43" spans="1:2">
      <c r="A43" s="21">
        <v>46216</v>
      </c>
      <c r="B43">
        <v>43</v>
      </c>
    </row>
    <row r="44" spans="1:2">
      <c r="A44" s="21">
        <v>46217</v>
      </c>
      <c r="B44">
        <v>44</v>
      </c>
    </row>
    <row r="45" spans="1:2">
      <c r="A45" s="21">
        <v>46218</v>
      </c>
      <c r="B45">
        <v>45</v>
      </c>
    </row>
    <row r="46" spans="1:2">
      <c r="A46" s="21">
        <v>46219</v>
      </c>
      <c r="B46">
        <v>46</v>
      </c>
    </row>
    <row r="47" spans="1:2">
      <c r="A47" s="21">
        <v>46220</v>
      </c>
      <c r="B47">
        <v>47</v>
      </c>
    </row>
    <row r="48" spans="1:2">
      <c r="A48" s="21">
        <v>46221</v>
      </c>
      <c r="B48">
        <v>48</v>
      </c>
    </row>
    <row r="49" spans="1:2">
      <c r="A49" s="21">
        <v>46222</v>
      </c>
      <c r="B49">
        <v>49</v>
      </c>
    </row>
    <row r="50" spans="1:2">
      <c r="A50" s="21">
        <v>46223</v>
      </c>
      <c r="B50">
        <v>50</v>
      </c>
    </row>
    <row r="51" spans="1:2">
      <c r="A51" s="21">
        <v>46224</v>
      </c>
      <c r="B51">
        <v>51</v>
      </c>
    </row>
    <row r="52" spans="1:2">
      <c r="A52" s="21">
        <v>46225</v>
      </c>
      <c r="B52">
        <v>52</v>
      </c>
    </row>
    <row r="53" spans="1:2">
      <c r="A53" s="21">
        <v>46226</v>
      </c>
      <c r="B53">
        <v>53</v>
      </c>
    </row>
    <row r="54" spans="1:2">
      <c r="A54" s="21">
        <v>46227</v>
      </c>
      <c r="B54">
        <v>54</v>
      </c>
    </row>
    <row r="55" spans="1:2">
      <c r="A55" s="21">
        <v>46228</v>
      </c>
      <c r="B55">
        <v>55</v>
      </c>
    </row>
    <row r="56" spans="1:2">
      <c r="A56" s="21">
        <v>46229</v>
      </c>
      <c r="B56">
        <v>56</v>
      </c>
    </row>
    <row r="57" spans="1:2">
      <c r="A57" s="21">
        <v>46230</v>
      </c>
      <c r="B57">
        <v>57</v>
      </c>
    </row>
    <row r="58" spans="1:2">
      <c r="A58" s="21">
        <v>46231</v>
      </c>
      <c r="B58">
        <v>58</v>
      </c>
    </row>
    <row r="59" spans="1:2">
      <c r="A59" s="21">
        <v>46232</v>
      </c>
      <c r="B59">
        <v>59</v>
      </c>
    </row>
    <row r="60" spans="1:2">
      <c r="A60" s="21">
        <v>46233</v>
      </c>
      <c r="B60">
        <v>60</v>
      </c>
    </row>
    <row r="61" spans="1:2">
      <c r="A61" s="21">
        <v>46234</v>
      </c>
      <c r="B61">
        <v>61</v>
      </c>
    </row>
    <row r="62" spans="1:2">
      <c r="A62" s="21">
        <v>46235</v>
      </c>
      <c r="B62">
        <v>62</v>
      </c>
    </row>
    <row r="63" spans="1:2">
      <c r="A63" s="21">
        <v>46236</v>
      </c>
      <c r="B63">
        <v>63</v>
      </c>
    </row>
    <row r="64" spans="1:2">
      <c r="A64" s="21">
        <v>46237</v>
      </c>
      <c r="B64">
        <v>64</v>
      </c>
    </row>
    <row r="65" spans="1:2">
      <c r="A65" s="21">
        <v>46238</v>
      </c>
      <c r="B65">
        <v>65</v>
      </c>
    </row>
    <row r="66" spans="1:2">
      <c r="A66" s="21">
        <v>46239</v>
      </c>
      <c r="B66">
        <v>66</v>
      </c>
    </row>
    <row r="67" spans="1:2">
      <c r="A67" s="21">
        <v>46240</v>
      </c>
      <c r="B67">
        <v>67</v>
      </c>
    </row>
    <row r="68" spans="1:2">
      <c r="A68" s="21">
        <v>46241</v>
      </c>
      <c r="B68">
        <v>68</v>
      </c>
    </row>
    <row r="69" spans="1:2">
      <c r="A69" s="21">
        <v>46242</v>
      </c>
      <c r="B69">
        <v>69</v>
      </c>
    </row>
    <row r="70" spans="1:2">
      <c r="A70" s="21">
        <v>46243</v>
      </c>
      <c r="B70">
        <v>70</v>
      </c>
    </row>
    <row r="71" spans="1:2">
      <c r="A71" s="21">
        <v>46244</v>
      </c>
      <c r="B71">
        <v>71</v>
      </c>
    </row>
    <row r="72" spans="1:2">
      <c r="A72" s="21">
        <v>46245</v>
      </c>
      <c r="B72">
        <v>72</v>
      </c>
    </row>
    <row r="73" spans="1:2">
      <c r="A73" s="21">
        <v>46246</v>
      </c>
      <c r="B73">
        <v>73</v>
      </c>
    </row>
    <row r="74" spans="1:2">
      <c r="A74" s="21">
        <v>46247</v>
      </c>
      <c r="B74">
        <v>74</v>
      </c>
    </row>
    <row r="75" spans="1:2">
      <c r="A75" s="21">
        <v>46248</v>
      </c>
      <c r="B75">
        <v>75</v>
      </c>
    </row>
    <row r="76" spans="1:2">
      <c r="A76" s="21">
        <v>46249</v>
      </c>
      <c r="B76">
        <v>76</v>
      </c>
    </row>
    <row r="77" spans="1:2">
      <c r="A77" s="21">
        <v>46250</v>
      </c>
      <c r="B77">
        <v>77</v>
      </c>
    </row>
    <row r="78" spans="1:2">
      <c r="A78" s="21">
        <v>46251</v>
      </c>
      <c r="B78">
        <v>78</v>
      </c>
    </row>
    <row r="79" spans="1:2">
      <c r="A79" s="21">
        <v>46252</v>
      </c>
      <c r="B79">
        <v>79</v>
      </c>
    </row>
    <row r="80" spans="1:2">
      <c r="A80" s="21">
        <v>46253</v>
      </c>
      <c r="B80">
        <v>80</v>
      </c>
    </row>
    <row r="81" spans="1:2">
      <c r="A81" s="21">
        <v>46254</v>
      </c>
      <c r="B81">
        <v>81</v>
      </c>
    </row>
    <row r="82" spans="1:2">
      <c r="A82" s="21">
        <v>46255</v>
      </c>
      <c r="B82">
        <v>82</v>
      </c>
    </row>
    <row r="83" spans="1:2">
      <c r="A83" s="21">
        <v>46256</v>
      </c>
      <c r="B83">
        <v>83</v>
      </c>
    </row>
    <row r="84" spans="1:2">
      <c r="A84" s="21">
        <v>46257</v>
      </c>
      <c r="B84">
        <v>84</v>
      </c>
    </row>
    <row r="85" spans="1:2">
      <c r="A85" s="21">
        <v>46258</v>
      </c>
      <c r="B85">
        <v>85</v>
      </c>
    </row>
    <row r="86" spans="1:2">
      <c r="A86" s="21">
        <v>46259</v>
      </c>
      <c r="B86">
        <v>86</v>
      </c>
    </row>
    <row r="87" spans="1:2">
      <c r="A87" s="21">
        <v>46260</v>
      </c>
      <c r="B87">
        <v>87</v>
      </c>
    </row>
    <row r="88" spans="1:2">
      <c r="A88" s="21">
        <v>46261</v>
      </c>
      <c r="B88">
        <v>88</v>
      </c>
    </row>
    <row r="89" spans="1:2">
      <c r="A89" s="21">
        <v>46262</v>
      </c>
      <c r="B89">
        <v>89</v>
      </c>
    </row>
    <row r="90" spans="1:2">
      <c r="A90" s="21">
        <v>46263</v>
      </c>
      <c r="B90">
        <v>90</v>
      </c>
    </row>
    <row r="91" spans="1:2">
      <c r="A91" s="21">
        <v>46264</v>
      </c>
      <c r="B91">
        <v>91</v>
      </c>
    </row>
    <row r="92" spans="1:2">
      <c r="A92" s="21">
        <v>46265</v>
      </c>
      <c r="B92">
        <v>92</v>
      </c>
    </row>
    <row r="93" spans="1:2">
      <c r="A93" s="21">
        <v>46266</v>
      </c>
      <c r="B93">
        <v>93</v>
      </c>
    </row>
    <row r="94" spans="1:2">
      <c r="A94" s="21">
        <v>46267</v>
      </c>
      <c r="B94">
        <v>94</v>
      </c>
    </row>
    <row r="95" spans="1:2">
      <c r="A95" s="21">
        <v>46268</v>
      </c>
      <c r="B95">
        <v>95</v>
      </c>
    </row>
    <row r="96" spans="1:2">
      <c r="A96" s="21">
        <v>46269</v>
      </c>
      <c r="B96">
        <v>96</v>
      </c>
    </row>
    <row r="97" spans="1:2">
      <c r="A97" s="21">
        <v>46270</v>
      </c>
      <c r="B97">
        <v>97</v>
      </c>
    </row>
    <row r="98" spans="1:2">
      <c r="A98" s="21">
        <v>46271</v>
      </c>
      <c r="B98">
        <v>98</v>
      </c>
    </row>
    <row r="99" spans="1:2">
      <c r="A99" s="21">
        <v>46272</v>
      </c>
      <c r="B99">
        <v>99</v>
      </c>
    </row>
    <row r="100" spans="1:2">
      <c r="A100" s="21">
        <v>46273</v>
      </c>
      <c r="B100">
        <v>100</v>
      </c>
    </row>
    <row r="101" spans="1:2">
      <c r="A101" s="21">
        <v>46274</v>
      </c>
      <c r="B101">
        <v>101</v>
      </c>
    </row>
    <row r="102" spans="1:2">
      <c r="A102" s="21">
        <v>46275</v>
      </c>
      <c r="B102">
        <v>102</v>
      </c>
    </row>
    <row r="103" spans="1:2">
      <c r="A103" s="21">
        <v>46276</v>
      </c>
      <c r="B103">
        <v>103</v>
      </c>
    </row>
    <row r="104" spans="1:2">
      <c r="A104" s="21">
        <v>46277</v>
      </c>
      <c r="B104">
        <v>104</v>
      </c>
    </row>
    <row r="105" spans="1:2">
      <c r="A105" s="21">
        <v>46278</v>
      </c>
      <c r="B105">
        <v>105</v>
      </c>
    </row>
    <row r="106" spans="1:2">
      <c r="A106" s="21">
        <v>46279</v>
      </c>
      <c r="B106">
        <v>106</v>
      </c>
    </row>
    <row r="107" spans="1:2">
      <c r="A107" s="21">
        <v>46280</v>
      </c>
      <c r="B107">
        <v>107</v>
      </c>
    </row>
    <row r="108" spans="1:2">
      <c r="A108" s="21">
        <v>46281</v>
      </c>
      <c r="B108">
        <v>108</v>
      </c>
    </row>
    <row r="109" spans="1:2">
      <c r="A109" s="21">
        <v>46282</v>
      </c>
      <c r="B109">
        <v>109</v>
      </c>
    </row>
    <row r="110" spans="1:2">
      <c r="A110" s="21">
        <v>46283</v>
      </c>
      <c r="B110">
        <v>110</v>
      </c>
    </row>
    <row r="111" spans="1:2">
      <c r="A111" s="21">
        <v>46284</v>
      </c>
      <c r="B111">
        <v>111</v>
      </c>
    </row>
    <row r="112" spans="1:2">
      <c r="A112" s="21">
        <v>46285</v>
      </c>
      <c r="B112">
        <v>112</v>
      </c>
    </row>
    <row r="113" spans="1:2">
      <c r="A113" s="21">
        <v>46286</v>
      </c>
      <c r="B113">
        <v>113</v>
      </c>
    </row>
    <row r="114" spans="1:2">
      <c r="A114" s="21">
        <v>46287</v>
      </c>
      <c r="B114">
        <v>114</v>
      </c>
    </row>
    <row r="115" spans="1:2">
      <c r="A115" s="21">
        <v>46288</v>
      </c>
      <c r="B115">
        <v>115</v>
      </c>
    </row>
    <row r="116" spans="1:2">
      <c r="A116" s="21">
        <v>46289</v>
      </c>
      <c r="B116">
        <v>116</v>
      </c>
    </row>
    <row r="117" spans="1:2">
      <c r="A117" s="21">
        <v>46290</v>
      </c>
      <c r="B117">
        <v>117</v>
      </c>
    </row>
    <row r="118" spans="1:2">
      <c r="A118" s="21">
        <v>46291</v>
      </c>
      <c r="B118">
        <v>118</v>
      </c>
    </row>
    <row r="119" spans="1:2">
      <c r="A119" s="21">
        <v>46292</v>
      </c>
      <c r="B119">
        <v>119</v>
      </c>
    </row>
    <row r="120" spans="1:2">
      <c r="A120" s="21">
        <v>46293</v>
      </c>
      <c r="B120">
        <v>120</v>
      </c>
    </row>
    <row r="121" spans="1:2">
      <c r="A121" s="21">
        <v>46294</v>
      </c>
      <c r="B121">
        <v>121</v>
      </c>
    </row>
    <row r="122" spans="1:2">
      <c r="A122" s="21">
        <v>46295</v>
      </c>
      <c r="B122">
        <v>122</v>
      </c>
    </row>
    <row r="123" spans="1:2">
      <c r="A123" s="21">
        <v>46296</v>
      </c>
      <c r="B123">
        <v>123</v>
      </c>
    </row>
    <row r="124" spans="1:2">
      <c r="A124" s="21">
        <v>46297</v>
      </c>
      <c r="B124">
        <v>124</v>
      </c>
    </row>
    <row r="125" spans="1:2">
      <c r="A125" s="21">
        <v>46298</v>
      </c>
      <c r="B125">
        <v>125</v>
      </c>
    </row>
    <row r="126" spans="1:2">
      <c r="A126" s="21">
        <v>46299</v>
      </c>
      <c r="B126">
        <v>126</v>
      </c>
    </row>
    <row r="127" spans="1:2">
      <c r="A127" s="21">
        <v>46300</v>
      </c>
      <c r="B127">
        <v>127</v>
      </c>
    </row>
    <row r="128" spans="1:2">
      <c r="A128" s="21">
        <v>46301</v>
      </c>
      <c r="B128">
        <v>128</v>
      </c>
    </row>
    <row r="129" spans="1:2">
      <c r="A129" s="21">
        <v>46302</v>
      </c>
      <c r="B129">
        <v>129</v>
      </c>
    </row>
    <row r="130" spans="1:2">
      <c r="A130" s="21">
        <v>46303</v>
      </c>
      <c r="B130">
        <v>130</v>
      </c>
    </row>
    <row r="131" spans="1:2">
      <c r="A131" s="21">
        <v>46304</v>
      </c>
      <c r="B131">
        <v>131</v>
      </c>
    </row>
    <row r="132" spans="1:2">
      <c r="A132" s="21">
        <v>46305</v>
      </c>
      <c r="B132">
        <v>132</v>
      </c>
    </row>
    <row r="133" spans="1:2">
      <c r="A133" s="21">
        <v>46306</v>
      </c>
      <c r="B133">
        <v>133</v>
      </c>
    </row>
    <row r="134" spans="1:2">
      <c r="A134" s="21">
        <v>46307</v>
      </c>
      <c r="B134">
        <v>134</v>
      </c>
    </row>
    <row r="135" spans="1:2">
      <c r="A135" s="21">
        <v>46308</v>
      </c>
      <c r="B135">
        <v>135</v>
      </c>
    </row>
    <row r="136" spans="1:2">
      <c r="A136" s="21">
        <v>46309</v>
      </c>
      <c r="B136">
        <v>136</v>
      </c>
    </row>
    <row r="137" spans="1:2">
      <c r="A137" s="21">
        <v>46310</v>
      </c>
      <c r="B137">
        <v>137</v>
      </c>
    </row>
    <row r="138" spans="1:2">
      <c r="A138" s="21">
        <v>46311</v>
      </c>
      <c r="B138">
        <v>138</v>
      </c>
    </row>
    <row r="139" spans="1:2">
      <c r="A139" s="21">
        <v>46312</v>
      </c>
      <c r="B139">
        <v>139</v>
      </c>
    </row>
    <row r="140" spans="1:2">
      <c r="A140" s="21">
        <v>46313</v>
      </c>
      <c r="B140">
        <v>140</v>
      </c>
    </row>
    <row r="141" spans="1:2">
      <c r="A141" s="21">
        <v>46314</v>
      </c>
      <c r="B141">
        <v>141</v>
      </c>
    </row>
    <row r="142" spans="1:2">
      <c r="A142" s="21">
        <v>46315</v>
      </c>
      <c r="B142">
        <v>142</v>
      </c>
    </row>
    <row r="143" spans="1:2">
      <c r="A143" s="21">
        <v>46316</v>
      </c>
      <c r="B143">
        <v>143</v>
      </c>
    </row>
    <row r="144" spans="1:2">
      <c r="A144" s="21">
        <v>46317</v>
      </c>
      <c r="B144">
        <v>144</v>
      </c>
    </row>
    <row r="145" spans="1:2">
      <c r="A145" s="21">
        <v>46318</v>
      </c>
      <c r="B145">
        <v>145</v>
      </c>
    </row>
    <row r="146" spans="1:2">
      <c r="A146" s="21">
        <v>46319</v>
      </c>
      <c r="B146">
        <v>146</v>
      </c>
    </row>
    <row r="147" spans="1:2">
      <c r="A147" s="21">
        <v>46320</v>
      </c>
      <c r="B147">
        <v>147</v>
      </c>
    </row>
    <row r="148" spans="1:2">
      <c r="A148" s="21">
        <v>46321</v>
      </c>
      <c r="B148">
        <v>148</v>
      </c>
    </row>
    <row r="149" spans="1:2">
      <c r="A149" s="21">
        <v>46322</v>
      </c>
      <c r="B149">
        <v>149</v>
      </c>
    </row>
    <row r="150" spans="1:2">
      <c r="A150" s="21">
        <v>46323</v>
      </c>
      <c r="B150">
        <v>150</v>
      </c>
    </row>
    <row r="151" spans="1:2">
      <c r="A151" s="21">
        <v>46324</v>
      </c>
      <c r="B151">
        <v>151</v>
      </c>
    </row>
    <row r="152" spans="1:2">
      <c r="A152" s="21">
        <v>46325</v>
      </c>
      <c r="B152">
        <v>152</v>
      </c>
    </row>
    <row r="153" spans="1:2">
      <c r="A153" s="21">
        <v>46326</v>
      </c>
      <c r="B153">
        <v>153</v>
      </c>
    </row>
    <row r="154" spans="1:2">
      <c r="A154" s="21">
        <v>46327</v>
      </c>
      <c r="B154">
        <v>154</v>
      </c>
    </row>
    <row r="155" spans="1:2">
      <c r="A155" s="21">
        <v>46328</v>
      </c>
      <c r="B155">
        <v>155</v>
      </c>
    </row>
    <row r="156" spans="1:2">
      <c r="A156" s="21">
        <v>46329</v>
      </c>
      <c r="B156">
        <v>156</v>
      </c>
    </row>
    <row r="157" spans="1:2">
      <c r="A157" s="21">
        <v>46330</v>
      </c>
      <c r="B157">
        <v>157</v>
      </c>
    </row>
    <row r="158" spans="1:2">
      <c r="A158" s="21">
        <v>46331</v>
      </c>
      <c r="B158">
        <v>158</v>
      </c>
    </row>
    <row r="159" spans="1:2">
      <c r="A159" s="21">
        <v>46332</v>
      </c>
      <c r="B159">
        <v>159</v>
      </c>
    </row>
    <row r="160" spans="1:2">
      <c r="A160" s="21">
        <v>46333</v>
      </c>
      <c r="B160">
        <v>160</v>
      </c>
    </row>
    <row r="161" spans="1:2">
      <c r="A161" s="21">
        <v>46334</v>
      </c>
      <c r="B161">
        <v>161</v>
      </c>
    </row>
    <row r="162" spans="1:2">
      <c r="A162" s="21">
        <v>46335</v>
      </c>
      <c r="B162">
        <v>162</v>
      </c>
    </row>
    <row r="163" spans="1:2">
      <c r="A163" s="21">
        <v>46336</v>
      </c>
      <c r="B163">
        <v>163</v>
      </c>
    </row>
    <row r="164" spans="1:2">
      <c r="A164" s="21">
        <v>46337</v>
      </c>
      <c r="B164">
        <v>164</v>
      </c>
    </row>
    <row r="165" spans="1:2">
      <c r="A165" s="21">
        <v>46338</v>
      </c>
      <c r="B165">
        <v>165</v>
      </c>
    </row>
    <row r="166" spans="1:2">
      <c r="A166" s="21">
        <v>46339</v>
      </c>
      <c r="B166">
        <v>166</v>
      </c>
    </row>
    <row r="167" spans="1:2">
      <c r="A167" s="21">
        <v>46340</v>
      </c>
      <c r="B167">
        <v>167</v>
      </c>
    </row>
    <row r="168" spans="1:2">
      <c r="A168" s="21">
        <v>46341</v>
      </c>
      <c r="B168">
        <v>168</v>
      </c>
    </row>
    <row r="169" spans="1:2">
      <c r="A169" s="21">
        <v>46342</v>
      </c>
      <c r="B169">
        <v>169</v>
      </c>
    </row>
    <row r="170" spans="1:2">
      <c r="A170" s="21">
        <v>46343</v>
      </c>
      <c r="B170">
        <v>170</v>
      </c>
    </row>
    <row r="171" spans="1:2">
      <c r="A171" s="21">
        <v>46344</v>
      </c>
      <c r="B171">
        <v>171</v>
      </c>
    </row>
    <row r="172" spans="1:2">
      <c r="A172" s="21">
        <v>46345</v>
      </c>
      <c r="B172">
        <v>172</v>
      </c>
    </row>
    <row r="173" spans="1:2">
      <c r="A173" s="21">
        <v>46346</v>
      </c>
      <c r="B173">
        <v>173</v>
      </c>
    </row>
    <row r="174" spans="1:2">
      <c r="A174" s="21">
        <v>46347</v>
      </c>
      <c r="B174">
        <v>174</v>
      </c>
    </row>
    <row r="175" spans="1:2">
      <c r="A175" s="21">
        <v>46348</v>
      </c>
      <c r="B175">
        <v>175</v>
      </c>
    </row>
    <row r="176" spans="1:2">
      <c r="A176" s="21">
        <v>46349</v>
      </c>
      <c r="B176">
        <v>176</v>
      </c>
    </row>
    <row r="177" spans="1:2">
      <c r="A177" s="21">
        <v>46350</v>
      </c>
      <c r="B177">
        <v>177</v>
      </c>
    </row>
    <row r="178" spans="1:2">
      <c r="A178" s="21">
        <v>46351</v>
      </c>
      <c r="B178">
        <v>178</v>
      </c>
    </row>
    <row r="179" spans="1:2">
      <c r="A179" s="21">
        <v>46352</v>
      </c>
      <c r="B179">
        <v>179</v>
      </c>
    </row>
    <row r="180" spans="1:2">
      <c r="A180" s="21">
        <v>46353</v>
      </c>
      <c r="B180">
        <v>180</v>
      </c>
    </row>
    <row r="181" spans="1:2">
      <c r="A181" s="21">
        <v>46354</v>
      </c>
      <c r="B181">
        <v>181</v>
      </c>
    </row>
    <row r="182" spans="1:2">
      <c r="A182" s="21">
        <v>46355</v>
      </c>
      <c r="B182">
        <v>182</v>
      </c>
    </row>
    <row r="183" spans="1:2">
      <c r="A183" s="21">
        <v>46356</v>
      </c>
      <c r="B183">
        <v>183</v>
      </c>
    </row>
    <row r="184" spans="1:2">
      <c r="A184" s="21">
        <v>46357</v>
      </c>
      <c r="B184">
        <v>184</v>
      </c>
    </row>
    <row r="185" spans="1:2">
      <c r="A185" s="21">
        <v>46358</v>
      </c>
      <c r="B185">
        <v>185</v>
      </c>
    </row>
    <row r="186" spans="1:2">
      <c r="A186" s="21">
        <v>46359</v>
      </c>
      <c r="B186">
        <v>186</v>
      </c>
    </row>
    <row r="187" spans="1:2">
      <c r="A187" s="21">
        <v>46360</v>
      </c>
      <c r="B187">
        <v>187</v>
      </c>
    </row>
    <row r="188" spans="1:2">
      <c r="A188" s="21">
        <v>46361</v>
      </c>
      <c r="B188">
        <v>188</v>
      </c>
    </row>
    <row r="189" spans="1:2">
      <c r="A189" s="21">
        <v>46362</v>
      </c>
      <c r="B189">
        <v>189</v>
      </c>
    </row>
    <row r="190" spans="1:2">
      <c r="A190" s="21">
        <v>46363</v>
      </c>
      <c r="B190">
        <v>190</v>
      </c>
    </row>
    <row r="191" spans="1:2">
      <c r="A191" s="21">
        <v>46364</v>
      </c>
      <c r="B191">
        <v>191</v>
      </c>
    </row>
    <row r="192" spans="1:2">
      <c r="A192" s="21">
        <v>46365</v>
      </c>
      <c r="B192">
        <v>192</v>
      </c>
    </row>
    <row r="193" spans="1:2">
      <c r="A193" s="21">
        <v>46366</v>
      </c>
      <c r="B193">
        <v>193</v>
      </c>
    </row>
    <row r="194" spans="1:2">
      <c r="A194" s="21">
        <v>46367</v>
      </c>
      <c r="B194">
        <v>194</v>
      </c>
    </row>
    <row r="195" spans="1:2">
      <c r="A195" s="21">
        <v>46368</v>
      </c>
      <c r="B195">
        <v>195</v>
      </c>
    </row>
    <row r="196" spans="1:2">
      <c r="A196" s="21">
        <v>46369</v>
      </c>
      <c r="B196">
        <v>196</v>
      </c>
    </row>
    <row r="197" spans="1:2">
      <c r="A197" s="21">
        <v>46370</v>
      </c>
      <c r="B197">
        <v>197</v>
      </c>
    </row>
    <row r="198" spans="1:2">
      <c r="A198" s="21">
        <v>46371</v>
      </c>
      <c r="B198">
        <v>198</v>
      </c>
    </row>
    <row r="199" spans="1:2">
      <c r="A199" s="21">
        <v>46372</v>
      </c>
      <c r="B199">
        <v>199</v>
      </c>
    </row>
    <row r="200" spans="1:2">
      <c r="A200" s="21">
        <v>46373</v>
      </c>
      <c r="B200">
        <v>200</v>
      </c>
    </row>
    <row r="201" spans="1:2">
      <c r="A201" s="21">
        <v>46374</v>
      </c>
      <c r="B201">
        <v>201</v>
      </c>
    </row>
    <row r="202" spans="1:2">
      <c r="A202" s="21">
        <v>46375</v>
      </c>
      <c r="B202">
        <v>202</v>
      </c>
    </row>
    <row r="203" spans="1:2">
      <c r="A203" s="21">
        <v>46376</v>
      </c>
      <c r="B203">
        <v>203</v>
      </c>
    </row>
    <row r="204" spans="1:2">
      <c r="A204" s="21">
        <v>46377</v>
      </c>
      <c r="B204">
        <v>204</v>
      </c>
    </row>
    <row r="205" spans="1:2">
      <c r="A205" s="21">
        <v>46378</v>
      </c>
      <c r="B205">
        <v>205</v>
      </c>
    </row>
    <row r="206" spans="1:2">
      <c r="A206" s="21">
        <v>46379</v>
      </c>
      <c r="B206">
        <v>206</v>
      </c>
    </row>
    <row r="207" spans="1:2">
      <c r="A207" s="21">
        <v>46380</v>
      </c>
      <c r="B207">
        <v>207</v>
      </c>
    </row>
    <row r="208" spans="1:2">
      <c r="A208" s="21">
        <v>46381</v>
      </c>
      <c r="B208">
        <v>208</v>
      </c>
    </row>
    <row r="209" spans="1:2">
      <c r="A209" s="21">
        <v>46382</v>
      </c>
      <c r="B209">
        <v>209</v>
      </c>
    </row>
    <row r="210" spans="1:2">
      <c r="A210" s="21">
        <v>46383</v>
      </c>
      <c r="B210">
        <v>210</v>
      </c>
    </row>
    <row r="211" spans="1:2">
      <c r="A211" s="21">
        <v>46384</v>
      </c>
      <c r="B211">
        <v>211</v>
      </c>
    </row>
    <row r="212" spans="1:2">
      <c r="A212" s="21">
        <v>46385</v>
      </c>
      <c r="B212">
        <v>212</v>
      </c>
    </row>
    <row r="213" spans="1:2">
      <c r="A213" s="21">
        <v>46386</v>
      </c>
      <c r="B213">
        <v>213</v>
      </c>
    </row>
    <row r="214" spans="1:2">
      <c r="A214" s="21">
        <v>46387</v>
      </c>
      <c r="B214">
        <v>214</v>
      </c>
    </row>
    <row r="215" spans="1:2">
      <c r="A215" s="21">
        <v>46388</v>
      </c>
      <c r="B215">
        <v>215</v>
      </c>
    </row>
    <row r="216" spans="1:2">
      <c r="A216" s="21">
        <v>46389</v>
      </c>
      <c r="B216">
        <v>216</v>
      </c>
    </row>
    <row r="217" spans="1:2">
      <c r="A217" s="21">
        <v>46390</v>
      </c>
      <c r="B217">
        <v>217</v>
      </c>
    </row>
    <row r="218" spans="1:2">
      <c r="A218" s="21">
        <v>46391</v>
      </c>
      <c r="B218">
        <v>218</v>
      </c>
    </row>
    <row r="219" spans="1:2">
      <c r="A219" s="21">
        <v>46392</v>
      </c>
      <c r="B219">
        <v>219</v>
      </c>
    </row>
    <row r="220" spans="1:2">
      <c r="A220" s="21">
        <v>46393</v>
      </c>
      <c r="B220">
        <v>220</v>
      </c>
    </row>
    <row r="221" spans="1:2">
      <c r="A221" s="21">
        <v>46394</v>
      </c>
      <c r="B221">
        <v>221</v>
      </c>
    </row>
    <row r="222" spans="1:2">
      <c r="A222" s="21">
        <v>46395</v>
      </c>
      <c r="B222">
        <v>222</v>
      </c>
    </row>
    <row r="223" spans="1:2">
      <c r="A223" s="21">
        <v>46396</v>
      </c>
      <c r="B223">
        <v>223</v>
      </c>
    </row>
    <row r="224" spans="1:2">
      <c r="A224" s="21">
        <v>46397</v>
      </c>
      <c r="B224">
        <v>224</v>
      </c>
    </row>
    <row r="225" spans="1:2">
      <c r="A225" s="21">
        <v>46398</v>
      </c>
      <c r="B225">
        <v>225</v>
      </c>
    </row>
    <row r="226" spans="1:2">
      <c r="A226" s="21">
        <v>46399</v>
      </c>
      <c r="B226">
        <v>226</v>
      </c>
    </row>
    <row r="227" spans="1:2">
      <c r="A227" s="21">
        <v>46400</v>
      </c>
      <c r="B227">
        <v>227</v>
      </c>
    </row>
    <row r="228" spans="1:2">
      <c r="A228" s="21">
        <v>46401</v>
      </c>
      <c r="B228">
        <v>228</v>
      </c>
    </row>
    <row r="229" spans="1:2">
      <c r="A229" s="21">
        <v>46402</v>
      </c>
      <c r="B229">
        <v>229</v>
      </c>
    </row>
    <row r="230" spans="1:2">
      <c r="A230" s="21">
        <v>46403</v>
      </c>
      <c r="B230">
        <v>230</v>
      </c>
    </row>
    <row r="231" spans="1:2">
      <c r="A231" s="21">
        <v>46404</v>
      </c>
      <c r="B231">
        <v>231</v>
      </c>
    </row>
    <row r="232" spans="1:2">
      <c r="A232" s="21">
        <v>46405</v>
      </c>
      <c r="B232">
        <v>232</v>
      </c>
    </row>
    <row r="233" spans="1:2">
      <c r="A233" s="21">
        <v>46406</v>
      </c>
      <c r="B233">
        <v>233</v>
      </c>
    </row>
    <row r="234" spans="1:2">
      <c r="A234" s="21">
        <v>46407</v>
      </c>
      <c r="B234">
        <v>234</v>
      </c>
    </row>
    <row r="235" spans="1:2">
      <c r="A235" s="21">
        <v>46408</v>
      </c>
      <c r="B235">
        <v>235</v>
      </c>
    </row>
    <row r="236" spans="1:2">
      <c r="A236" s="21">
        <v>46409</v>
      </c>
      <c r="B236">
        <v>236</v>
      </c>
    </row>
    <row r="237" spans="1:2">
      <c r="A237" s="21">
        <v>46410</v>
      </c>
      <c r="B237">
        <v>237</v>
      </c>
    </row>
    <row r="238" spans="1:2">
      <c r="A238" s="21">
        <v>46411</v>
      </c>
      <c r="B238">
        <v>238</v>
      </c>
    </row>
    <row r="239" spans="1:2">
      <c r="A239" s="21">
        <v>46412</v>
      </c>
      <c r="B239">
        <v>239</v>
      </c>
    </row>
    <row r="240" spans="1:2">
      <c r="A240" s="21">
        <v>46413</v>
      </c>
      <c r="B240">
        <v>240</v>
      </c>
    </row>
    <row r="241" spans="1:2">
      <c r="A241" s="21">
        <v>46414</v>
      </c>
      <c r="B241">
        <v>241</v>
      </c>
    </row>
    <row r="242" spans="1:2">
      <c r="A242" s="21">
        <v>46415</v>
      </c>
      <c r="B242">
        <v>242</v>
      </c>
    </row>
    <row r="243" spans="1:2">
      <c r="A243" s="21">
        <v>46416</v>
      </c>
      <c r="B243">
        <v>243</v>
      </c>
    </row>
    <row r="244" spans="1:2">
      <c r="A244" s="21">
        <v>46417</v>
      </c>
      <c r="B244">
        <v>244</v>
      </c>
    </row>
    <row r="245" spans="1:2">
      <c r="A245" s="21">
        <v>46418</v>
      </c>
      <c r="B245">
        <v>245</v>
      </c>
    </row>
    <row r="246" spans="1:2">
      <c r="A246" s="21">
        <v>46419</v>
      </c>
      <c r="B246">
        <v>246</v>
      </c>
    </row>
    <row r="247" spans="1:2">
      <c r="A247" s="21">
        <v>46420</v>
      </c>
      <c r="B247">
        <v>247</v>
      </c>
    </row>
    <row r="248" spans="1:2">
      <c r="A248" s="21">
        <v>46421</v>
      </c>
      <c r="B248">
        <v>248</v>
      </c>
    </row>
    <row r="249" spans="1:2">
      <c r="A249" s="21">
        <v>46422</v>
      </c>
      <c r="B249">
        <v>249</v>
      </c>
    </row>
    <row r="250" spans="1:2">
      <c r="A250" s="21">
        <v>46423</v>
      </c>
      <c r="B250">
        <v>250</v>
      </c>
    </row>
    <row r="251" spans="1:2">
      <c r="A251" s="21">
        <v>46424</v>
      </c>
      <c r="B251">
        <v>251</v>
      </c>
    </row>
    <row r="252" spans="1:2">
      <c r="A252" s="21">
        <v>46425</v>
      </c>
      <c r="B252">
        <v>252</v>
      </c>
    </row>
    <row r="253" spans="1:2">
      <c r="A253" s="21">
        <v>46426</v>
      </c>
      <c r="B253">
        <v>253</v>
      </c>
    </row>
    <row r="254" spans="1:2">
      <c r="A254" s="21">
        <v>46427</v>
      </c>
      <c r="B254">
        <v>254</v>
      </c>
    </row>
    <row r="255" spans="1:2">
      <c r="A255" s="21">
        <v>46428</v>
      </c>
      <c r="B255">
        <v>255</v>
      </c>
    </row>
    <row r="256" spans="1:2">
      <c r="A256" s="21">
        <v>46429</v>
      </c>
      <c r="B256">
        <v>256</v>
      </c>
    </row>
    <row r="257" spans="1:2">
      <c r="A257" s="21">
        <v>46430</v>
      </c>
      <c r="B257">
        <v>257</v>
      </c>
    </row>
    <row r="258" spans="1:2">
      <c r="A258" s="21">
        <v>46431</v>
      </c>
      <c r="B258">
        <v>258</v>
      </c>
    </row>
    <row r="259" spans="1:2">
      <c r="A259" s="21">
        <v>46432</v>
      </c>
      <c r="B259">
        <v>259</v>
      </c>
    </row>
    <row r="260" spans="1:2">
      <c r="A260" s="21">
        <v>46433</v>
      </c>
      <c r="B260">
        <v>260</v>
      </c>
    </row>
    <row r="261" spans="1:2">
      <c r="A261" s="21">
        <v>46434</v>
      </c>
      <c r="B261">
        <v>261</v>
      </c>
    </row>
    <row r="262" spans="1:2">
      <c r="A262" s="21">
        <v>46435</v>
      </c>
      <c r="B262">
        <v>262</v>
      </c>
    </row>
    <row r="263" spans="1:2">
      <c r="A263" s="21">
        <v>46436</v>
      </c>
      <c r="B263">
        <v>263</v>
      </c>
    </row>
    <row r="264" spans="1:2">
      <c r="A264" s="21">
        <v>46437</v>
      </c>
      <c r="B264">
        <v>264</v>
      </c>
    </row>
    <row r="265" spans="1:2">
      <c r="A265" s="21">
        <v>46438</v>
      </c>
      <c r="B265">
        <v>265</v>
      </c>
    </row>
    <row r="266" spans="1:2">
      <c r="A266" s="21">
        <v>46439</v>
      </c>
      <c r="B266">
        <v>266</v>
      </c>
    </row>
    <row r="267" spans="1:2">
      <c r="A267" s="21">
        <v>46440</v>
      </c>
      <c r="B267">
        <v>267</v>
      </c>
    </row>
    <row r="268" spans="1:2">
      <c r="A268" s="21">
        <v>46441</v>
      </c>
      <c r="B268">
        <v>268</v>
      </c>
    </row>
    <row r="269" spans="1:2">
      <c r="A269" s="21">
        <v>46442</v>
      </c>
      <c r="B269">
        <v>269</v>
      </c>
    </row>
    <row r="270" spans="1:2">
      <c r="A270" s="21">
        <v>46443</v>
      </c>
      <c r="B270">
        <v>270</v>
      </c>
    </row>
    <row r="271" spans="1:2">
      <c r="A271" s="21">
        <v>46444</v>
      </c>
      <c r="B271">
        <v>271</v>
      </c>
    </row>
    <row r="272" spans="1:2">
      <c r="A272" s="21">
        <v>46445</v>
      </c>
      <c r="B272">
        <v>272</v>
      </c>
    </row>
    <row r="273" spans="1:2">
      <c r="A273" s="21">
        <v>46446</v>
      </c>
      <c r="B273">
        <v>273</v>
      </c>
    </row>
    <row r="274" spans="1:2">
      <c r="A274" s="21">
        <v>46447</v>
      </c>
      <c r="B274">
        <v>274</v>
      </c>
    </row>
    <row r="275" spans="1:2">
      <c r="A275" s="21">
        <v>46448</v>
      </c>
      <c r="B275">
        <v>275</v>
      </c>
    </row>
    <row r="276" spans="1:2">
      <c r="A276" s="21">
        <v>46449</v>
      </c>
      <c r="B276">
        <v>276</v>
      </c>
    </row>
    <row r="277" spans="1:2">
      <c r="A277" s="21">
        <v>46450</v>
      </c>
      <c r="B277">
        <v>277</v>
      </c>
    </row>
    <row r="278" spans="1:2">
      <c r="A278" s="21">
        <v>46451</v>
      </c>
      <c r="B278">
        <v>278</v>
      </c>
    </row>
    <row r="279" spans="1:2">
      <c r="A279" s="21">
        <v>46452</v>
      </c>
      <c r="B279">
        <v>279</v>
      </c>
    </row>
    <row r="280" spans="1:2">
      <c r="A280" s="21">
        <v>46453</v>
      </c>
      <c r="B280">
        <v>280</v>
      </c>
    </row>
    <row r="281" spans="1:2">
      <c r="A281" s="21">
        <v>46454</v>
      </c>
      <c r="B281">
        <v>281</v>
      </c>
    </row>
    <row r="282" spans="1:2">
      <c r="A282" s="21">
        <v>46455</v>
      </c>
      <c r="B282">
        <v>282</v>
      </c>
    </row>
    <row r="283" spans="1:2">
      <c r="A283" s="21">
        <v>46456</v>
      </c>
      <c r="B283">
        <v>283</v>
      </c>
    </row>
    <row r="284" spans="1:2">
      <c r="A284" s="21">
        <v>46457</v>
      </c>
      <c r="B284">
        <v>284</v>
      </c>
    </row>
    <row r="285" spans="1:2">
      <c r="A285" s="21">
        <v>46458</v>
      </c>
      <c r="B285">
        <v>285</v>
      </c>
    </row>
    <row r="286" spans="1:2">
      <c r="A286" s="21">
        <v>46459</v>
      </c>
      <c r="B286">
        <v>286</v>
      </c>
    </row>
    <row r="287" spans="1:2">
      <c r="A287" s="21">
        <v>46460</v>
      </c>
      <c r="B287">
        <v>287</v>
      </c>
    </row>
    <row r="288" spans="1:2">
      <c r="A288" s="21">
        <v>46461</v>
      </c>
      <c r="B288">
        <v>288</v>
      </c>
    </row>
    <row r="289" spans="1:2">
      <c r="A289" s="21">
        <v>46462</v>
      </c>
      <c r="B289">
        <v>289</v>
      </c>
    </row>
    <row r="290" spans="1:2">
      <c r="A290" s="21">
        <v>46463</v>
      </c>
      <c r="B290">
        <v>290</v>
      </c>
    </row>
    <row r="291" spans="1:2">
      <c r="A291" s="21">
        <v>46464</v>
      </c>
      <c r="B291">
        <v>291</v>
      </c>
    </row>
    <row r="292" spans="1:2">
      <c r="A292" s="21">
        <v>46465</v>
      </c>
      <c r="B292">
        <v>292</v>
      </c>
    </row>
    <row r="293" spans="1:2">
      <c r="A293" s="21">
        <v>46466</v>
      </c>
      <c r="B293">
        <v>293</v>
      </c>
    </row>
    <row r="294" spans="1:2">
      <c r="A294" s="21">
        <v>46467</v>
      </c>
      <c r="B294">
        <v>294</v>
      </c>
    </row>
    <row r="295" spans="1:2">
      <c r="A295" s="21">
        <v>46468</v>
      </c>
      <c r="B295">
        <v>295</v>
      </c>
    </row>
    <row r="296" spans="1:2">
      <c r="A296" s="21">
        <v>46469</v>
      </c>
      <c r="B296">
        <v>296</v>
      </c>
    </row>
    <row r="297" spans="1:2">
      <c r="A297" s="21">
        <v>46470</v>
      </c>
      <c r="B297">
        <v>297</v>
      </c>
    </row>
    <row r="298" spans="1:2">
      <c r="A298" s="21">
        <v>46471</v>
      </c>
      <c r="B298">
        <v>298</v>
      </c>
    </row>
    <row r="299" spans="1:2">
      <c r="A299" s="21">
        <v>46472</v>
      </c>
      <c r="B299">
        <v>299</v>
      </c>
    </row>
    <row r="300" spans="1:2">
      <c r="A300" s="21">
        <v>46473</v>
      </c>
      <c r="B300">
        <v>300</v>
      </c>
    </row>
    <row r="301" spans="1:2">
      <c r="A301" s="21">
        <v>46474</v>
      </c>
      <c r="B301">
        <v>301</v>
      </c>
    </row>
    <row r="302" spans="1:2">
      <c r="A302" s="21">
        <v>46475</v>
      </c>
      <c r="B302">
        <v>302</v>
      </c>
    </row>
    <row r="303" spans="1:2">
      <c r="A303" s="21">
        <v>46476</v>
      </c>
      <c r="B303">
        <v>303</v>
      </c>
    </row>
    <row r="304" spans="1:2">
      <c r="A304" s="21">
        <v>46477</v>
      </c>
      <c r="B304">
        <v>304</v>
      </c>
    </row>
    <row r="305" spans="1:2">
      <c r="A305" s="21">
        <v>46478</v>
      </c>
      <c r="B305">
        <v>305</v>
      </c>
    </row>
    <row r="306" spans="1:2">
      <c r="A306" s="21">
        <v>46479</v>
      </c>
      <c r="B306">
        <v>306</v>
      </c>
    </row>
    <row r="307" spans="1:2">
      <c r="A307" s="21">
        <v>46480</v>
      </c>
      <c r="B307">
        <v>307</v>
      </c>
    </row>
    <row r="308" spans="1:2">
      <c r="A308" s="21">
        <v>46481</v>
      </c>
      <c r="B308">
        <v>308</v>
      </c>
    </row>
    <row r="309" spans="1:2">
      <c r="A309" s="21">
        <v>46482</v>
      </c>
      <c r="B309">
        <v>309</v>
      </c>
    </row>
    <row r="310" spans="1:2">
      <c r="A310" s="21">
        <v>46483</v>
      </c>
      <c r="B310">
        <v>310</v>
      </c>
    </row>
    <row r="311" spans="1:2">
      <c r="A311" s="21">
        <v>46484</v>
      </c>
      <c r="B311">
        <v>311</v>
      </c>
    </row>
    <row r="312" spans="1:2">
      <c r="A312" s="21">
        <v>46485</v>
      </c>
      <c r="B312">
        <v>312</v>
      </c>
    </row>
    <row r="313" spans="1:2">
      <c r="A313" s="21">
        <v>46486</v>
      </c>
      <c r="B313">
        <v>313</v>
      </c>
    </row>
    <row r="314" spans="1:2">
      <c r="A314" s="21">
        <v>46487</v>
      </c>
      <c r="B314">
        <v>314</v>
      </c>
    </row>
    <row r="315" spans="1:2">
      <c r="A315" s="21">
        <v>46488</v>
      </c>
      <c r="B315">
        <v>315</v>
      </c>
    </row>
    <row r="316" spans="1:2">
      <c r="A316" s="21">
        <v>46489</v>
      </c>
      <c r="B316">
        <v>316</v>
      </c>
    </row>
    <row r="317" spans="1:2">
      <c r="A317" s="21">
        <v>46490</v>
      </c>
      <c r="B317">
        <v>317</v>
      </c>
    </row>
    <row r="318" spans="1:2">
      <c r="A318" s="21">
        <v>46491</v>
      </c>
      <c r="B318">
        <v>318</v>
      </c>
    </row>
    <row r="319" spans="1:2">
      <c r="A319" s="21">
        <v>46492</v>
      </c>
      <c r="B319">
        <v>319</v>
      </c>
    </row>
    <row r="320" spans="1:2">
      <c r="A320" s="21">
        <v>46493</v>
      </c>
      <c r="B320">
        <v>320</v>
      </c>
    </row>
    <row r="321" spans="1:2">
      <c r="A321" s="21">
        <v>46494</v>
      </c>
      <c r="B321">
        <v>321</v>
      </c>
    </row>
    <row r="322" spans="1:2">
      <c r="A322" s="21">
        <v>46495</v>
      </c>
      <c r="B322">
        <v>322</v>
      </c>
    </row>
    <row r="323" spans="1:2">
      <c r="A323" s="21">
        <v>46496</v>
      </c>
      <c r="B323">
        <v>323</v>
      </c>
    </row>
    <row r="324" spans="1:2">
      <c r="A324" s="21">
        <v>46497</v>
      </c>
      <c r="B324">
        <v>324</v>
      </c>
    </row>
    <row r="325" spans="1:2">
      <c r="A325" s="21">
        <v>46498</v>
      </c>
      <c r="B325">
        <v>325</v>
      </c>
    </row>
    <row r="326" spans="1:2">
      <c r="A326" s="21">
        <v>46499</v>
      </c>
      <c r="B326">
        <v>326</v>
      </c>
    </row>
    <row r="327" spans="1:2">
      <c r="A327" s="21">
        <v>46500</v>
      </c>
      <c r="B327">
        <v>327</v>
      </c>
    </row>
    <row r="328" spans="1:2">
      <c r="A328" s="21">
        <v>46501</v>
      </c>
      <c r="B328">
        <v>328</v>
      </c>
    </row>
    <row r="329" spans="1:2">
      <c r="A329" s="21">
        <v>46502</v>
      </c>
      <c r="B329">
        <v>329</v>
      </c>
    </row>
    <row r="330" spans="1:2">
      <c r="A330" s="21">
        <v>46503</v>
      </c>
      <c r="B330">
        <v>330</v>
      </c>
    </row>
    <row r="331" spans="1:2">
      <c r="A331" s="21">
        <v>46504</v>
      </c>
      <c r="B331">
        <v>331</v>
      </c>
    </row>
    <row r="332" spans="1:2">
      <c r="A332" s="21">
        <v>46505</v>
      </c>
      <c r="B332">
        <v>332</v>
      </c>
    </row>
    <row r="333" spans="1:2">
      <c r="A333" s="21">
        <v>46506</v>
      </c>
      <c r="B333">
        <v>333</v>
      </c>
    </row>
    <row r="334" spans="1:2">
      <c r="A334" s="21">
        <v>46507</v>
      </c>
      <c r="B334">
        <v>334</v>
      </c>
    </row>
    <row r="335" spans="1:2">
      <c r="A335" s="21">
        <v>46508</v>
      </c>
      <c r="B335">
        <v>335</v>
      </c>
    </row>
    <row r="336" spans="1:2">
      <c r="A336" s="21">
        <v>46509</v>
      </c>
      <c r="B336">
        <v>336</v>
      </c>
    </row>
    <row r="337" spans="1:2">
      <c r="A337" s="21">
        <v>46510</v>
      </c>
      <c r="B337">
        <v>337</v>
      </c>
    </row>
    <row r="338" spans="1:2">
      <c r="A338" s="21">
        <v>46511</v>
      </c>
      <c r="B338">
        <v>338</v>
      </c>
    </row>
    <row r="339" spans="1:2">
      <c r="A339" s="21">
        <v>46512</v>
      </c>
      <c r="B339">
        <v>339</v>
      </c>
    </row>
    <row r="340" spans="1:2">
      <c r="A340" s="21">
        <v>46513</v>
      </c>
      <c r="B340">
        <v>340</v>
      </c>
    </row>
    <row r="341" spans="1:2">
      <c r="A341" s="21">
        <v>46514</v>
      </c>
      <c r="B341">
        <v>341</v>
      </c>
    </row>
    <row r="342" spans="1:2">
      <c r="A342" s="21">
        <v>46515</v>
      </c>
      <c r="B342">
        <v>342</v>
      </c>
    </row>
    <row r="343" spans="1:2">
      <c r="A343" s="21">
        <v>46516</v>
      </c>
      <c r="B343">
        <v>343</v>
      </c>
    </row>
    <row r="344" spans="1:2">
      <c r="A344" s="21">
        <v>46517</v>
      </c>
      <c r="B344">
        <v>344</v>
      </c>
    </row>
    <row r="345" spans="1:2">
      <c r="A345" s="21">
        <v>46518</v>
      </c>
      <c r="B345">
        <v>345</v>
      </c>
    </row>
    <row r="346" spans="1:2">
      <c r="A346" s="21">
        <v>46519</v>
      </c>
      <c r="B346">
        <v>346</v>
      </c>
    </row>
    <row r="347" spans="1:2">
      <c r="A347" s="21">
        <v>46520</v>
      </c>
      <c r="B347">
        <v>347</v>
      </c>
    </row>
    <row r="348" spans="1:2">
      <c r="A348" s="21">
        <v>46521</v>
      </c>
      <c r="B348">
        <v>348</v>
      </c>
    </row>
    <row r="349" spans="1:2">
      <c r="A349" s="21">
        <v>46522</v>
      </c>
      <c r="B349">
        <v>349</v>
      </c>
    </row>
    <row r="350" spans="1:2">
      <c r="A350" s="21">
        <v>46523</v>
      </c>
      <c r="B350">
        <v>350</v>
      </c>
    </row>
    <row r="351" spans="1:2">
      <c r="A351" s="21">
        <v>46524</v>
      </c>
      <c r="B351">
        <v>351</v>
      </c>
    </row>
    <row r="352" spans="1:2">
      <c r="A352" s="21">
        <v>46525</v>
      </c>
      <c r="B352">
        <v>352</v>
      </c>
    </row>
    <row r="353" spans="1:2">
      <c r="A353" s="21">
        <v>46526</v>
      </c>
      <c r="B353">
        <v>353</v>
      </c>
    </row>
    <row r="354" spans="1:2">
      <c r="A354" s="21">
        <v>46527</v>
      </c>
      <c r="B354">
        <v>354</v>
      </c>
    </row>
    <row r="355" spans="1:2">
      <c r="A355" s="21">
        <v>46528</v>
      </c>
      <c r="B355">
        <v>355</v>
      </c>
    </row>
    <row r="356" spans="1:2">
      <c r="A356" s="21">
        <v>46529</v>
      </c>
      <c r="B356">
        <v>356</v>
      </c>
    </row>
    <row r="357" spans="1:2">
      <c r="A357" s="21">
        <v>46530</v>
      </c>
      <c r="B357">
        <v>357</v>
      </c>
    </row>
    <row r="358" spans="1:2">
      <c r="A358" s="21">
        <v>46531</v>
      </c>
      <c r="B358">
        <v>358</v>
      </c>
    </row>
    <row r="359" spans="1:2">
      <c r="A359" s="21">
        <v>46532</v>
      </c>
      <c r="B359">
        <v>359</v>
      </c>
    </row>
    <row r="360" spans="1:2">
      <c r="A360" s="21">
        <v>46533</v>
      </c>
      <c r="B360">
        <v>360</v>
      </c>
    </row>
    <row r="361" spans="1:2">
      <c r="A361" s="21">
        <v>46534</v>
      </c>
      <c r="B361">
        <v>361</v>
      </c>
    </row>
    <row r="362" spans="1:2">
      <c r="A362" s="21">
        <v>46535</v>
      </c>
      <c r="B362">
        <v>362</v>
      </c>
    </row>
    <row r="363" spans="1:2">
      <c r="A363" s="21">
        <v>46536</v>
      </c>
      <c r="B363">
        <v>363</v>
      </c>
    </row>
    <row r="364" spans="1:2">
      <c r="A364" s="21">
        <v>46537</v>
      </c>
      <c r="B364">
        <v>364</v>
      </c>
    </row>
    <row r="365" spans="1:2">
      <c r="A365" s="21">
        <v>46538</v>
      </c>
      <c r="B365">
        <v>365</v>
      </c>
    </row>
  </sheetData>
  <mergeCells count="3">
    <mergeCell ref="M1:M2"/>
    <mergeCell ref="H1:H2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Sets</vt:lpstr>
      <vt:lpstr>Plots (J)</vt:lpstr>
      <vt:lpstr>Costs</vt:lpstr>
      <vt:lpstr>Crops (I)</vt:lpstr>
      <vt:lpstr>History (Ch)</vt:lpstr>
      <vt:lpstr>Yields</vt:lpstr>
      <vt:lpstr>Rotations(red)</vt:lpstr>
      <vt:lpstr>Fechas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Agustina Anselmino</cp:lastModifiedBy>
  <dcterms:created xsi:type="dcterms:W3CDTF">2020-06-09T19:04:05Z</dcterms:created>
  <dcterms:modified xsi:type="dcterms:W3CDTF">2026-08-28T22:39:20Z</dcterms:modified>
</cp:coreProperties>
</file>